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manths/Desktop/"/>
    </mc:Choice>
  </mc:AlternateContent>
  <xr:revisionPtr revIDLastSave="0" documentId="13_ncr:9_{7576C9A3-D6B4-0747-ACA8-3D45161EA323}" xr6:coauthVersionLast="47" xr6:coauthVersionMax="47" xr10:uidLastSave="{00000000-0000-0000-0000-000000000000}"/>
  <bookViews>
    <workbookView xWindow="0" yWindow="660" windowWidth="29400" windowHeight="18460" xr2:uid="{815E7DFC-9870-8944-9F7F-C55E76ECA58E}"/>
  </bookViews>
  <sheets>
    <sheet name="Processed_Data" sheetId="1" r:id="rId1"/>
    <sheet name="Pivot_Table" sheetId="8" r:id="rId2"/>
    <sheet name="Analysis" sheetId="3" r:id="rId3"/>
    <sheet name="ForeCast" sheetId="5" r:id="rId4"/>
  </sheets>
  <calcPr calcId="191029"/>
  <pivotCaches>
    <pivotCache cacheId="14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15" i="5" l="1"/>
  <c r="D16" i="5"/>
  <c r="D14" i="5"/>
  <c r="C14" i="5"/>
  <c r="C15" i="5"/>
  <c r="C16" i="5"/>
  <c r="C2" i="5"/>
  <c r="C3" i="5"/>
  <c r="C4" i="5"/>
  <c r="C5" i="5"/>
  <c r="C6" i="5"/>
  <c r="C7" i="5"/>
  <c r="C8" i="5"/>
  <c r="C9" i="5"/>
  <c r="C10" i="5"/>
  <c r="C11" i="5"/>
  <c r="C12" i="5"/>
  <c r="C13" i="5"/>
  <c r="A11" i="3"/>
  <c r="A8" i="3"/>
  <c r="A5" i="3"/>
  <c r="A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</calcChain>
</file>

<file path=xl/sharedStrings.xml><?xml version="1.0" encoding="utf-8"?>
<sst xmlns="http://purl.oclc.org/ooxml/spreadsheetml/main" count="3049" uniqueCount="1043">
  <si>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</si>
  <si>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</si>
  <si>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</si>
  <si>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</si>
  <si>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</si>
  <si>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</si>
  <si>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</si>
  <si>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</si>
  <si>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</si>
  <si>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</si>
  <si>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</si>
  <si>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</si>
  <si>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</si>
  <si>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</si>
  <si>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</si>
  <si>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</si>
  <si>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</si>
  <si>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</si>
  <si>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</si>
  <si>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</si>
  <si>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</si>
  <si>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</si>
  <si>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</si>
  <si>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</si>
  <si>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</si>
  <si>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</si>
  <si>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</si>
  <si>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</si>
  <si>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</si>
  <si>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</si>
  <si>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</si>
  <si>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</si>
  <si>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</si>
  <si>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</si>
  <si>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</si>
  <si>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</si>
  <si>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</si>
  <si>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</si>
  <si>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</si>
  <si>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</si>
  <si>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</si>
  <si>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</si>
  <si>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</si>
  <si>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</si>
  <si>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</si>
  <si>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</si>
  <si>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</si>
  <si>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</si>
  <si>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</si>
  <si>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</si>
  <si>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</si>
  <si>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</si>
  <si>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</si>
  <si>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</si>
  <si>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</si>
  <si>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</si>
  <si>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</si>
  <si>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</si>
  <si>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</si>
  <si>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</si>
  <si>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</si>
  <si>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</si>
  <si>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</si>
  <si>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</si>
  <si>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</si>
  <si>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</si>
  <si>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</si>
  <si>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</si>
  <si>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</si>
  <si>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</si>
  <si>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</si>
  <si>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</si>
  <si>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</si>
  <si>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</si>
  <si>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</si>
  <si>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</si>
  <si>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</si>
  <si>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</si>
  <si>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</si>
  <si>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</si>
  <si>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</si>
  <si>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</si>
  <si>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</si>
  <si>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</si>
  <si>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</si>
  <si>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</si>
  <si>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</si>
  <si>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</si>
  <si>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</si>
  <si>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</si>
  <si>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</si>
  <si>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</si>
  <si>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</si>
  <si>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</si>
  <si>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</si>
  <si>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</si>
  <si>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</si>
  <si>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</si>
  <si>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</si>
  <si>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</si>
  <si>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</si>
  <si>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</si>
  <si>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</si>
  <si>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</si>
  <si>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</si>
  <si>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</si>
  <si>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</si>
  <si>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</si>
  <si>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</si>
  <si>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</si>
  <si>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</si>
  <si>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</si>
  <si>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</si>
  <si>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</si>
  <si>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</si>
  <si>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</si>
  <si>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</si>
  <si>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</si>
  <si>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</si>
  <si>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</si>
  <si>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</si>
  <si>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</si>
  <si>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</si>
  <si>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</si>
  <si>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</si>
  <si>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</si>
  <si>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</si>
  <si>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</si>
  <si>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</si>
  <si>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</si>
  <si>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</si>
  <si>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</si>
  <si>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</si>
  <si>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</si>
  <si>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</si>
  <si>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</si>
  <si>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</si>
  <si>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</si>
  <si>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</si>
  <si>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</si>
  <si>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</si>
  <si>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</si>
  <si>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</si>
  <si>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</si>
  <si>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</si>
  <si>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</si>
  <si>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</si>
  <si>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</si>
  <si>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</si>
  <si>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</si>
  <si>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</si>
  <si>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</si>
  <si>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</si>
  <si>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</si>
  <si>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</si>
  <si>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</si>
  <si>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</si>
  <si>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</si>
  <si>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</si>
  <si>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</si>
  <si>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</si>
  <si>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</si>
  <si>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</si>
  <si>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</si>
  <si>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</si>
  <si>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</si>
  <si>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</si>
  <si>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</si>
  <si>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</si>
  <si>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</si>
  <si>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</si>
  <si>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</si>
  <si>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</si>
  <si>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</si>
  <si>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</si>
  <si>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</si>
  <si>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</si>
  <si>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</si>
  <si>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</si>
  <si>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</si>
  <si>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</si>
  <si>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</si>
  <si>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</si>
  <si>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</si>
  <si>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</si>
  <si>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</si>
  <si>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</si>
  <si>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</si>
  <si>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</si>
  <si>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</si>
  <si>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</si>
  <si>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</si>
  <si>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</si>
  <si>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</si>
  <si>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</si>
  <si>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</si>
  <si>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</si>
  <si>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</si>
  <si>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</si>
  <si>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</si>
  <si>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</si>
  <si>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</si>
  <si>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</si>
  <si>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</si>
  <si>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</si>
  <si>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</si>
  <si>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</si>
  <si>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</si>
  <si>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</si>
  <si>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</si>
  <si>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</si>
  <si>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</si>
  <si>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</si>
  <si>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</si>
  <si>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</si>
  <si>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</si>
  <si>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</si>
  <si>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</si>
  <si>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</si>
  <si>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</si>
  <si>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</si>
  <si>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</si>
  <si>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</si>
  <si>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</si>
  <si>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</si>
  <si>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</si>
  <si>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</si>
  <si>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</si>
  <si>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</si>
  <si>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</si>
  <si>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</si>
  <si>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</si>
  <si>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</si>
  <si>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</si>
  <si>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</si>
  <si>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</si>
  <si>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</si>
  <si>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</si>
  <si>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</si>
  <si>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</si>
  <si>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</si>
  <si>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</si>
  <si>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</si>
  <si>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</si>
  <si>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</si>
  <si>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</si>
  <si>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</si>
  <si>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</si>
  <si>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</si>
  <si>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</si>
  <si>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</si>
  <si>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</si>
  <si>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</si>
  <si>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</si>
  <si>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</si>
  <si>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</si>
  <si>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</si>
  <si>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</si>
  <si>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</si>
  <si>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</si>
  <si>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</si>
  <si>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</si>
  <si>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</si>
  <si>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</si>
  <si>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</si>
  <si>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</si>
  <si>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</si>
  <si>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</si>
  <si>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</si>
  <si>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</si>
  <si>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</si>
  <si>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</si>
  <si>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</si>
  <si>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</si>
  <si>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</si>
  <si>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</si>
  <si>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</si>
  <si>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</si>
  <si>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</si>
  <si>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</si>
  <si>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</si>
  <si>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</si>
  <si>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</si>
  <si>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</si>
  <si>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</si>
  <si>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</si>
  <si>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</si>
  <si>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</si>
  <si>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</si>
  <si>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</si>
  <si>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</si>
  <si>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</si>
  <si>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</si>
  <si>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</si>
  <si>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</si>
  <si>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</si>
  <si>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</si>
  <si>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</si>
  <si>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</si>
  <si>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</si>
  <si>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</si>
  <si>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</si>
  <si>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</si>
  <si>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</si>
  <si>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</si>
  <si>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</si>
  <si>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</si>
  <si>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</si>
  <si>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</si>
  <si>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</si>
  <si>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</si>
  <si>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</si>
  <si>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</si>
  <si>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</si>
  <si>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</si>
  <si>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</si>
  <si>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</si>
  <si>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</si>
  <si>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</si>
  <si>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</si>
  <si>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</si>
  <si>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</si>
  <si>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</si>
  <si>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</si>
  <si>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</si>
  <si>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</si>
  <si>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</si>
  <si>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</si>
  <si>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</si>
  <si>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</si>
  <si>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</si>
  <si>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</si>
  <si>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</si>
  <si>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</si>
  <si>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</si>
  <si>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</si>
  <si>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</si>
  <si>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</si>
  <si>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</si>
  <si>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</si>
  <si>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</si>
  <si>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</si>
  <si>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</si>
  <si>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</si>
  <si>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</si>
  <si>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</si>
  <si>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</si>
  <si>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</si>
  <si>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</si>
  <si>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</si>
  <si>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</si>
  <si>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</si>
  <si>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</si>
  <si>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</si>
  <si>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</si>
  <si>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</si>
  <si>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</si>
  <si>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</si>
  <si>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</si>
  <si>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</si>
  <si>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</si>
  <si>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</si>
  <si>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</si>
  <si>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</si>
  <si>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</si>
  <si>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</si>
  <si>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</si>
  <si>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</si>
  <si>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</si>
  <si>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</si>
  <si>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</si>
  <si>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</si>
  <si>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</si>
  <si>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</si>
  <si>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</si>
  <si>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</si>
  <si>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</si>
  <si>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</si>
  <si>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</si>
  <si>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</si>
  <si>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</si>
  <si>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</si>
  <si>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</si>
  <si>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</si>
  <si>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</si>
  <si>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</si>
  <si>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</si>
  <si>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</si>
  <si>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</si>
  <si>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</si>
  <si>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</si>
  <si>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</si>
  <si>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</si>
  <si>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</si>
  <si>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</si>
  <si>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</si>
  <si>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</si>
  <si>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</si>
  <si>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</si>
  <si>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</si>
  <si>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</si>
  <si>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</si>
  <si>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</si>
  <si>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</si>
  <si>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</si>
  <si>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</si>
  <si>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</si>
  <si>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</si>
  <si>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</si>
  <si>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</si>
  <si>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</si>
  <si>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</si>
  <si>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</si>
  <si>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</si>
  <si>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</si>
  <si>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</si>
  <si>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</si>
  <si>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</si>
  <si>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</si>
  <si>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</si>
  <si>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</si>
  <si>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</si>
  <si>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</si>
  <si>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</si>
  <si>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</si>
  <si>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</si>
  <si>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</si>
  <si>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</si>
  <si>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</si>
  <si>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</si>
  <si>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</si>
  <si>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</si>
  <si>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</si>
  <si>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</si>
  <si>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</si>
  <si>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</si>
  <si>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</si>
  <si>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</si>
  <si>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</si>
  <si>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</si>
  <si>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</si>
  <si>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</si>
  <si>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</si>
  <si>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</si>
  <si>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</si>
  <si>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</si>
  <si>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</si>
  <si>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</si>
  <si>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</si>
  <si>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</si>
  <si>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</si>
  <si>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</si>
  <si>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</si>
  <si>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</si>
  <si>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</si>
  <si>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</si>
  <si>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</si>
  <si>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</si>
  <si>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</si>
  <si>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</si>
  <si>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</si>
  <si>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</si>
  <si>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</si>
  <si>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</si>
  <si>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</si>
  <si>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</si>
  <si>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</si>
  <si>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</si>
  <si>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</si>
  <si>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</si>
  <si>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</si>
  <si>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</si>
  <si>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</si>
  <si>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</si>
  <si>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</si>
  <si>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</si>
  <si>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</si>
  <si>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</si>
  <si>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</si>
  <si>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</si>
  <si>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</si>
  <si>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</si>
  <si>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</si>
  <si>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</si>
  <si>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</si>
  <si>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</si>
  <si>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</si>
  <si>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</si>
  <si>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</si>
  <si>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</si>
  <si>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</si>
  <si>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</si>
  <si>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</si>
  <si>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</si>
  <si>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</si>
  <si>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</si>
  <si>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</si>
  <si>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</si>
  <si>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</si>
  <si>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</si>
  <si>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</si>
  <si>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</si>
  <si>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</si>
  <si>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</si>
  <si>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</si>
  <si>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</si>
  <si>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</si>
  <si>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</si>
  <si>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</si>
  <si>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</si>
  <si>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</si>
  <si>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</si>
  <si>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</si>
  <si>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</si>
  <si>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</si>
  <si>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</si>
  <si>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</si>
  <si>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</si>
  <si>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</si>
  <si>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</si>
  <si>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</si>
  <si>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</si>
  <si>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</si>
  <si>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</si>
  <si>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</si>
  <si>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</si>
  <si>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</si>
  <si>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</si>
  <si>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</si>
  <si>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</si>
  <si>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</si>
  <si>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</si>
  <si>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</si>
  <si>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</si>
  <si>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</si>
  <si>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</si>
  <si>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</si>
  <si>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</si>
  <si>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</si>
  <si>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</si>
  <si>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</si>
  <si>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</si>
  <si>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</si>
  <si>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</si>
  <si>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</si>
  <si>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</si>
  <si>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</si>
  <si>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</si>
  <si>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</si>
  <si>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</si>
  <si>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</si>
  <si>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</si>
  <si>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</si>
  <si>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</si>
  <si>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</si>
  <si>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</si>
  <si>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</si>
  <si>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</si>
  <si>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</si>
  <si>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</si>
  <si>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</si>
  <si>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</si>
  <si>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</si>
  <si>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</si>
  <si>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</si>
  <si>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</si>
  <si>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</si>
  <si>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</si>
  <si>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</si>
  <si>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</si>
  <si>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</si>
  <si>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</si>
  <si>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</si>
  <si>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</si>
  <si>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</si>
  <si>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</si>
  <si>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</si>
  <si>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</si>
  <si>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</si>
  <si>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</si>
  <si>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</si>
  <si>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</si>
  <si>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</si>
  <si>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</si>
  <si>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</si>
  <si>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</si>
  <si>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</si>
  <si>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</si>
  <si>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</si>
  <si>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</si>
  <si>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</si>
  <si>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</si>
  <si>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</si>
  <si>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</si>
  <si>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</si>
  <si>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</si>
  <si>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</si>
  <si>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</si>
  <si>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</si>
  <si>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</si>
  <si>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</si>
  <si>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</si>
  <si>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</si>
  <si>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</si>
  <si>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</si>
  <si>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</si>
  <si>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</si>
  <si>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</si>
  <si>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</si>
  <si>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</si>
  <si>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</si>
  <si>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</si>
  <si>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</si>
  <si>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</si>
  <si>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</si>
  <si>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</si>
  <si>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</si>
  <si>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</si>
  <si>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</si>
  <si>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</si>
  <si>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</si>
  <si>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</si>
  <si>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</si>
  <si>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</si>
  <si>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</si>
  <si>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</si>
  <si>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</si>
  <si>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</si>
  <si>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</si>
  <si>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</si>
  <si>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</si>
  <si>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</si>
  <si>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</si>
  <si>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</si>
  <si>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</si>
  <si>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</si>
  <si>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</si>
  <si>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</si>
  <si>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</si>
  <si>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</si>
  <si>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</si>
  <si>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</si>
  <si>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</si>
  <si>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</si>
  <si>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</si>
  <si>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</si>
  <si>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</si>
  <si>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</si>
  <si>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</si>
  <si>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</si>
  <si>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</si>
  <si>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</si>
  <si>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</si>
  <si>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</si>
  <si>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</si>
  <si>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</si>
  <si>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</si>
  <si>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</si>
  <si>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</si>
  <si>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</si>
  <si>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</si>
  <si>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</si>
  <si>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</si>
  <si>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</si>
  <si>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</si>
  <si>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</si>
  <si>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</si>
  <si>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</si>
  <si>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</si>
  <si>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</si>
  <si>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</si>
  <si>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</si>
  <si>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</si>
  <si>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</si>
  <si>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</si>
  <si>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</si>
  <si>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</si>
  <si>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</si>
  <si>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</si>
  <si>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</si>
  <si>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</si>
  <si>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</si>
  <si>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</si>
  <si>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</si>
  <si>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</si>
  <si>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</si>
  <si>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</si>
  <si>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</si>
  <si>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</si>
  <si>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</si>
  <si>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</si>
  <si>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</si>
  <si>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</si>
  <si>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</si>
  <si>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</si>
  <si>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</si>
  <si>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</si>
  <si>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</si>
  <si>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</si>
  <si>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</si>
  <si>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</si>
  <si>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</si>
  <si>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</si>
  <si>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</si>
  <si>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</si>
  <si>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</si>
  <si>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</si>
  <si>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</si>
  <si>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</si>
  <si>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</si>
  <si>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</si>
  <si>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</si>
  <si>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</si>
  <si>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</si>
  <si>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</si>
  <si>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</si>
  <si>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</si>
  <si>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</si>
  <si>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</si>
  <si>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</si>
  <si>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</si>
  <si>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</si>
  <si>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</si>
  <si>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</si>
  <si>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</si>
  <si>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</si>
  <si>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</si>
  <si>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</si>
  <si>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</si>
  <si>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</si>
  <si>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</si>
  <si>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</si>
  <si>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</si>
  <si>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</si>
  <si>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</si>
  <si>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</si>
  <si>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</si>
  <si>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</si>
  <si>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</si>
  <si>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</si>
  <si>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</si>
  <si>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</si>
  <si>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</si>
  <si>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</si>
  <si>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</si>
  <si>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</si>
  <si>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</si>
  <si>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</si>
  <si>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</si>
  <si>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</si>
  <si>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</si>
  <si>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</si>
  <si>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</si>
  <si>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</si>
  <si>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</si>
  <si>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</si>
  <si>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</si>
  <si>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</si>
  <si>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</si>
  <si>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</si>
  <si>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</si>
  <si>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</si>
  <si>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</si>
  <si>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</si>
  <si>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</si>
  <si>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</si>
  <si>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</si>
  <si>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</si>
  <si>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</si>
  <si>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</si>
  <si>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</si>
  <si>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</si>
  <si>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</si>
  <si>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</si>
  <si>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</si>
  <si>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</si>
  <si>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</si>
  <si>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</si>
  <si>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</si>
  <si>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</si>
  <si>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</si>
  <si>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</si>
  <si>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</si>
  <si>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</si>
  <si>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</si>
  <si>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</si>
  <si>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</si>
  <si>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</si>
  <si>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</si>
  <si>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</si>
  <si>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</si>
  <si>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</si>
  <si>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</si>
  <si>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</si>
  <si>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</si>
  <si>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</si>
  <si>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</si>
  <si>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</si>
  <si>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</si>
  <si>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</si>
  <si>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</si>
  <si>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</si>
  <si>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</si>
  <si>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</si>
  <si>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</si>
  <si>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</si>
  <si>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</si>
  <si>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</si>
  <si>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</si>
  <si>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</si>
  <si>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</si>
  <si>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</si>
  <si>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</si>
  <si>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</si>
  <si>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</si>
  <si>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</si>
  <si>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</si>
  <si>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</si>
  <si>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</si>
  <si>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</si>
  <si>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</si>
  <si>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</si>
  <si>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</si>
  <si>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</si>
  <si>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</si>
  <si>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</si>
  <si>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</si>
  <si>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</si>
  <si>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</si>
  <si>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</si>
  <si>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</si>
  <si>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</si>
  <si>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</si>
  <si>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</si>
  <si>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</si>
  <si>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</si>
  <si>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</si>
  <si>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</si>
  <si>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</si>
  <si>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</si>
  <si>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</si>
  <si>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</si>
  <si>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</si>
  <si>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</si>
  <si>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</si>
  <si>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</si>
  <si>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</si>
  <si>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</si>
  <si>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</si>
  <si>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</si>
  <si>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</si>
  <si>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</si>
  <si>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</si>
  <si>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</si>
  <si>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</si>
  <si>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</si>
  <si>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</si>
  <si>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</si>
  <si>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</si>
  <si>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</si>
  <si>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</si>
  <si>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</si>
  <si>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</si>
  <si>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</si>
  <si>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</si>
  <si>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</si>
  <si>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</si>
  <si>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</si>
  <si>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</si>
  <si>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</si>
  <si>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</si>
  <si>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</si>
  <si>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</si>
  <si>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</si>
  <si>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</si>
  <si>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</si>
  <si>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</si>
  <si>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</si>
  <si>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</si>
  <si>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</si>
  <si>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</si>
  <si>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</si>
  <si>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</si>
  <si>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</si>
  <si>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</si>
  <si>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</si>
  <si>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</si>
  <si>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</si>
  <si>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</si>
  <si>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</si>
  <si>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</si>
  <si>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</si>
  <si>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</si>
  <si>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</si>
  <si>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</si>
  <si>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</si>
  <si>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</si>
  <si>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</si>
  <si>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</si>
  <si>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</si>
  <si>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</si>
  <si>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</si>
  <si>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</si>
  <si>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</si>
  <si>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</si>
  <si>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</si>
  <si>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</si>
  <si>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</si>
  <si>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</si>
  <si>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</si>
  <si>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</si>
  <si>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</si>
  <si>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</si>
  <si>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</si>
  <si>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</si>
  <si>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</si>
  <si>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</si>
  <si>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</si>
  <si>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</si>
  <si>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</si>
  <si>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</si>
  <si>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</si>
  <si>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</si>
  <si>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</si>
  <si>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</si>
  <si>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</si>
  <si>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</si>
  <si>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</si>
  <si>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</si>
  <si>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</si>
  <si>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</si>
  <si>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</si>
  <si>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</si>
  <si>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</si>
  <si>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</si>
  <si>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</si>
  <si>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</si>
  <si>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</si>
  <si>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</si>
  <si>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</si>
  <si>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</si>
  <si>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</si>
  <si>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</si>
  <si>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</si>
  <si>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</si>
  <si>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</si>
  <si>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</si>
  <si>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</si>
  <si>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</si>
  <si>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</si>
  <si>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</si>
  <si>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</si>
  <si>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</si>
  <si>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</si>
  <si>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</si>
  <si>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</si>
  <si>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</si>
  <si>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</si>
  <si>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</si>
  <si>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</si>
  <si>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</si>
  <si>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</si>
  <si>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</si>
  <si>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</si>
  <si>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</si>
  <si>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</si>
  <si>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</si>
  <si>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</si>
  <si>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</si>
  <si>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</si>
  <si>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</si>
  <si>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</si>
  <si>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</si>
  <si>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</si>
  <si>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</si>
  <si>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</si>
  <si>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</si>
  <si>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</si>
  <si>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</si>
  <si>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</si>
  <si>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</si>
  <si>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</si>
  <si>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</si>
  <si>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</si>
  <si>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</si>
  <si>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</si>
  <si>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</si>
  <si>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</si>
  <si>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</si>
  <si>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</si>
  <si>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</si>
  <si>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</si>
  <si>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</si>
  <si>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</si>
  <si>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</si>
  <si>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</si>
  <si>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</si>
  <si>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</si>
  <si>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</si>
  <si>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</si>
  <si>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</si>
  <si>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</si>
  <si>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</si>
  <si>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</si>
  <si>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</si>
  <si>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</si>
  <si>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</si>
  <si>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</si>
  <si>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</si>
  <si>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</si>
  <si>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</si>
  <si>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</si>
  <si>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</si>
  <si>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</si>
  <si>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</t>
  </si>
  <si>
    <t>Month</t>
  </si>
  <si>
    <t>Month_start</t>
  </si>
  <si>
    <t>Year</t>
  </si>
  <si>
    <t>Quarter</t>
  </si>
  <si>
    <t>Age Group</t>
  </si>
  <si>
    <t>Total Revenue</t>
  </si>
  <si>
    <t>Total Quantity Sold</t>
  </si>
  <si>
    <t>Total_Transactions</t>
  </si>
  <si>
    <t>Average Transaction Value</t>
  </si>
  <si>
    <t>Row Labels</t>
  </si>
  <si>
    <t>Grand Total</t>
  </si>
  <si>
    <t>Sum of Total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</si>
  <si>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</si>
  <si>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</si>
  <si>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</si>
  <si>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</si>
  <si>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</si>
  <si>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</si>
  <si>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</si>
  <si>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</si>
  <si>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</si>
  <si>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</si>
  <si>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</si>
  <si>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</si>
  <si>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Start</t>
  </si>
  <si>
    <t>Revenue</t>
  </si>
  <si>
    <t>Month No</t>
  </si>
  <si>
    <t>Forecast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</si>
</sst>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409]d\-mmm\-yyyy;@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Font="1"/>
    <xf numFmtId="171" fontId="16" fillId="0" borderId="0" xfId="0" applyNumberFormat="1" applyFont="1"/>
    <xf numFmtId="171" fontId="0" fillId="0" borderId="0" xfId="0" applyNumberFormat="1" applyFont="1"/>
    <xf numFmtId="17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1" formatCode="[$-409]d\-mmm\-yyyy;@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ln>
                <a:noFill/>
              </a:ln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%">
                  <a:ln>
                    <a:noFill/>
                  </a:ln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A-F74E-BDC7-1114F70F4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374080"/>
        <c:axId val="1156517376"/>
      </c:lineChart>
      <c:catAx>
        <c:axId val="110237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ln>
                  <a:noFill/>
                </a:ln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17376"/>
        <c:crosses val="autoZero"/>
        <c:auto val="1"/>
        <c:lblAlgn val="ctr"/>
        <c:lblOffset val="100"/>
        <c:noMultiLvlLbl val="0"/>
      </c:catAx>
      <c:valAx>
        <c:axId val="11565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ln>
                  <a:noFill/>
                </a:ln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7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ln>
                <a:noFill/>
              </a:ln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Pivot_Table!$B$21:$B$24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0-484C-91DB-912B554A0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2373568"/>
        <c:axId val="1062371776"/>
      </c:barChart>
      <c:catAx>
        <c:axId val="106237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1776"/>
        <c:crosses val="autoZero"/>
        <c:auto val="1"/>
        <c:lblAlgn val="ctr"/>
        <c:lblOffset val="100"/>
        <c:noMultiLvlLbl val="0"/>
      </c:catAx>
      <c:valAx>
        <c:axId val="106237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C0-874A-8E75-5C3DADD7EB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C0-874A-8E75-5C3DADD7EBF7}"/>
              </c:ext>
            </c:extLst>
          </c:dPt>
          <c:cat>
            <c:strRef>
              <c:f>Pivot_Table!$A$36:$A$38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Pivot_Table!$B$36:$B$38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C0-874A-8E75-5C3DADD7E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</xdr:row>
      <xdr:rowOff>190500</xdr:rowOff>
    </xdr:from>
    <xdr:to>
      <xdr:col>9</xdr:col>
      <xdr:colOff>0</xdr:colOff>
      <xdr:row>15</xdr:row>
      <xdr:rowOff>190500</xdr:rowOff>
    </xdr:to>
    <xdr:graphicFrame macro="">
      <xdr:nvGraphicFramePr>
        <xdr:cNvPr id="2" name="Monthly Revenue Trend">
          <a:extLst>
            <a:ext uri="{FF2B5EF4-FFF2-40B4-BE49-F238E27FC236}">
              <a16:creationId xmlns:a16="http://schemas.microsoft.com/office/drawing/2014/main" id="{0A2D757C-E37D-C4DF-9669-EEADE99AA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177800</xdr:rowOff>
    </xdr:from>
    <xdr:to>
      <xdr:col>8</xdr:col>
      <xdr:colOff>812800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FCA162-0D1E-0445-8F1B-ADA28612F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25400</xdr:rowOff>
    </xdr:from>
    <xdr:to>
      <xdr:col>8</xdr:col>
      <xdr:colOff>812800</xdr:colOff>
      <xdr:row>48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76DE23-1D5A-4E45-AC7D-36BD8390E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Sumanth's" refreshedDateIso="2026-03-20T18:09:34.23999973107129525" createdVersion="8" refreshedVersion="8" minRefreshableVersion="3" recordCount="1000" xr:uid="{1BFFEF88-2ED1-F846-85AD-08F39CA674AA}">
  <cacheSource type="worksheet">
    <worksheetSource name="SalesData"/>
  </cacheSource>
  <cacheFields count="17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6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MixedTypes="1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" numFmtId="0">
      <sharedItems count="13">
        <s v="2023-11"/>
        <s v="2023-02"/>
        <s v="2023-01"/>
        <s v="2023-05"/>
        <s v="2023-04"/>
        <s v="2023-03"/>
        <s v="2023-12"/>
        <s v="2023-10"/>
        <s v="2023-08"/>
        <s v="2023-09"/>
        <s v="2023-06"/>
        <s v="2023-07"/>
        <s v="2024-01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Quarter" numFmtId="0">
      <sharedItems/>
    </cacheField>
    <cacheField name="Month_start" numFmtId="14">
      <sharedItems containsSemiMixedTypes="0" containsNonDate="0" containsDate="1" containsString="0" minDate="2023-01-01T00:00:00" maxDate="2024-01-02T00:00:00"/>
    </cacheField>
    <cacheField name="Age Group" numFmtId="0">
      <sharedItems/>
    </cacheField>
    <cacheField name="Months (Date)" numFmtId="0" databaseField="0">
      <fieldGroup base="1">
        <rangePr groupBy="months" startDate="2023-01-01T00:00:00" endDate="2024-01-02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3"/>
          <s v="Qtr1"/>
          <s v="Qtr2"/>
          <s v="Qtr3"/>
          <s v="Qtr4"/>
          <s v="&gt;1/2/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3"/>
          <s v="2023"/>
          <s v="2024"/>
          <s v="&gt;1/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  <x v="0"/>
    <x v="0"/>
    <s v="Q4"/>
    <d v="2023-11-01T00:00:00"/>
    <s v="30-39"/>
  </r>
  <r>
    <n v="2"/>
    <x v="1"/>
    <s v="CUST002"/>
    <x v="1"/>
    <n v="26"/>
    <x v="1"/>
    <n v="2"/>
    <n v="500"/>
    <n v="1000"/>
    <x v="1"/>
    <x v="0"/>
    <s v="Q1"/>
    <d v="2023-02-01T00:00:00"/>
    <s v="20-29"/>
  </r>
  <r>
    <n v="3"/>
    <x v="2"/>
    <s v="CUST003"/>
    <x v="0"/>
    <n v="50"/>
    <x v="2"/>
    <n v="1"/>
    <n v="30"/>
    <n v="30"/>
    <x v="2"/>
    <x v="0"/>
    <s v="Q1"/>
    <d v="2023-01-01T00:00:00"/>
    <s v="50+"/>
  </r>
  <r>
    <n v="4"/>
    <x v="3"/>
    <s v="CUST004"/>
    <x v="0"/>
    <n v="37"/>
    <x v="1"/>
    <n v="1"/>
    <n v="500"/>
    <n v="500"/>
    <x v="3"/>
    <x v="0"/>
    <s v="Q2"/>
    <d v="2023-05-01T00:00:00"/>
    <s v="30-39"/>
  </r>
  <r>
    <n v="5"/>
    <x v="4"/>
    <s v="CUST005"/>
    <x v="0"/>
    <n v="30"/>
    <x v="0"/>
    <n v="2"/>
    <n v="50"/>
    <n v="100"/>
    <x v="3"/>
    <x v="0"/>
    <s v="Q2"/>
    <d v="2023-05-01T00:00:00"/>
    <s v="30-39"/>
  </r>
  <r>
    <n v="6"/>
    <x v="5"/>
    <s v="CUST006"/>
    <x v="1"/>
    <n v="45"/>
    <x v="0"/>
    <n v="1"/>
    <n v="30"/>
    <n v="30"/>
    <x v="4"/>
    <x v="0"/>
    <s v="Q2"/>
    <d v="2023-04-01T00:00:00"/>
    <s v="40-49"/>
  </r>
  <r>
    <n v="7"/>
    <x v="6"/>
    <s v="CUST007"/>
    <x v="0"/>
    <n v="46"/>
    <x v="1"/>
    <n v="2"/>
    <n v="25"/>
    <n v="50"/>
    <x v="5"/>
    <x v="0"/>
    <s v="Q1"/>
    <d v="2023-03-01T00:00:00"/>
    <s v="40-49"/>
  </r>
  <r>
    <n v="8"/>
    <x v="7"/>
    <s v="CUST008"/>
    <x v="0"/>
    <n v="30"/>
    <x v="2"/>
    <n v="4"/>
    <n v="25"/>
    <n v="100"/>
    <x v="1"/>
    <x v="0"/>
    <s v="Q1"/>
    <d v="2023-02-01T00:00:00"/>
    <s v="30-39"/>
  </r>
  <r>
    <n v="9"/>
    <x v="8"/>
    <s v="CUST009"/>
    <x v="0"/>
    <n v="63"/>
    <x v="2"/>
    <n v="2"/>
    <n v="300"/>
    <n v="600"/>
    <x v="6"/>
    <x v="0"/>
    <s v="Q4"/>
    <d v="2023-12-01T00:00:00"/>
    <s v="50+"/>
  </r>
  <r>
    <n v="10"/>
    <x v="9"/>
    <s v="CUST010"/>
    <x v="1"/>
    <n v="52"/>
    <x v="1"/>
    <n v="4"/>
    <n v="50"/>
    <n v="200"/>
    <x v="7"/>
    <x v="0"/>
    <s v="Q4"/>
    <d v="2023-10-01T00:00:00"/>
    <s v="50+"/>
  </r>
  <r>
    <n v="11"/>
    <x v="10"/>
    <s v="CUST011"/>
    <x v="0"/>
    <n v="23"/>
    <x v="1"/>
    <n v="2"/>
    <n v="50"/>
    <n v="100"/>
    <x v="1"/>
    <x v="0"/>
    <s v="Q1"/>
    <d v="2023-02-01T00:00:00"/>
    <s v="20-29"/>
  </r>
  <r>
    <n v="12"/>
    <x v="11"/>
    <s v="CUST012"/>
    <x v="0"/>
    <n v="35"/>
    <x v="0"/>
    <n v="3"/>
    <n v="25"/>
    <n v="75"/>
    <x v="7"/>
    <x v="0"/>
    <s v="Q4"/>
    <d v="2023-10-01T00:00:00"/>
    <s v="30-39"/>
  </r>
  <r>
    <n v="13"/>
    <x v="12"/>
    <s v="CUST013"/>
    <x v="0"/>
    <n v="22"/>
    <x v="2"/>
    <n v="3"/>
    <n v="500"/>
    <n v="1500"/>
    <x v="8"/>
    <x v="0"/>
    <s v="Q3"/>
    <d v="2023-08-01T00:00:00"/>
    <s v="20-29"/>
  </r>
  <r>
    <n v="14"/>
    <x v="13"/>
    <s v="CUST014"/>
    <x v="0"/>
    <n v="64"/>
    <x v="1"/>
    <n v="4"/>
    <n v="30"/>
    <n v="120"/>
    <x v="2"/>
    <x v="0"/>
    <s v="Q1"/>
    <d v="2023-01-01T00:00:00"/>
    <s v="50+"/>
  </r>
  <r>
    <n v="15"/>
    <x v="14"/>
    <s v="CUST015"/>
    <x v="1"/>
    <n v="42"/>
    <x v="2"/>
    <n v="4"/>
    <n v="500"/>
    <n v="2000"/>
    <x v="2"/>
    <x v="0"/>
    <s v="Q1"/>
    <d v="2023-01-01T00:00:00"/>
    <s v="40-49"/>
  </r>
  <r>
    <n v="16"/>
    <x v="15"/>
    <s v="CUST016"/>
    <x v="0"/>
    <n v="19"/>
    <x v="1"/>
    <n v="3"/>
    <n v="500"/>
    <n v="1500"/>
    <x v="1"/>
    <x v="0"/>
    <s v="Q1"/>
    <d v="2023-02-01T00:00:00"/>
    <s v="Under 20"/>
  </r>
  <r>
    <n v="17"/>
    <x v="16"/>
    <s v="CUST017"/>
    <x v="1"/>
    <n v="27"/>
    <x v="1"/>
    <n v="4"/>
    <n v="25"/>
    <n v="100"/>
    <x v="4"/>
    <x v="0"/>
    <s v="Q2"/>
    <d v="2023-04-01T00:00:00"/>
    <s v="20-29"/>
  </r>
  <r>
    <n v="18"/>
    <x v="17"/>
    <s v="CUST018"/>
    <x v="1"/>
    <n v="47"/>
    <x v="2"/>
    <n v="2"/>
    <n v="25"/>
    <n v="50"/>
    <x v="4"/>
    <x v="0"/>
    <s v="Q2"/>
    <d v="2023-04-01T00:00:00"/>
    <s v="40-49"/>
  </r>
  <r>
    <n v="19"/>
    <x v="18"/>
    <s v="CUST019"/>
    <x v="1"/>
    <n v="62"/>
    <x v="1"/>
    <n v="2"/>
    <n v="25"/>
    <n v="50"/>
    <x v="9"/>
    <x v="0"/>
    <s v="Q3"/>
    <d v="2023-09-01T00:00:00"/>
    <s v="50+"/>
  </r>
  <r>
    <n v="20"/>
    <x v="19"/>
    <s v="CUST020"/>
    <x v="0"/>
    <n v="22"/>
    <x v="1"/>
    <n v="3"/>
    <n v="300"/>
    <n v="900"/>
    <x v="0"/>
    <x v="0"/>
    <s v="Q4"/>
    <d v="2023-11-01T00:00:00"/>
    <s v="20-29"/>
  </r>
  <r>
    <n v="21"/>
    <x v="20"/>
    <s v="CUST021"/>
    <x v="1"/>
    <s v="R"/>
    <x v="0"/>
    <n v="1"/>
    <n v="500"/>
    <n v="500"/>
    <x v="2"/>
    <x v="0"/>
    <s v="Q1"/>
    <d v="2023-01-01T00:00:00"/>
    <s v="50+"/>
  </r>
  <r>
    <n v="22"/>
    <x v="21"/>
    <s v="CUST022"/>
    <x v="0"/>
    <n v="18"/>
    <x v="1"/>
    <n v="2"/>
    <n v="50"/>
    <n v="100"/>
    <x v="7"/>
    <x v="0"/>
    <s v="Q4"/>
    <d v="2023-10-01T00:00:00"/>
    <s v="Under 20"/>
  </r>
  <r>
    <n v="23"/>
    <x v="22"/>
    <s v="CUST023"/>
    <x v="1"/>
    <n v="35"/>
    <x v="1"/>
    <n v="4"/>
    <n v="30"/>
    <n v="120"/>
    <x v="4"/>
    <x v="0"/>
    <s v="Q2"/>
    <d v="2023-04-01T00:00:00"/>
    <s v="30-39"/>
  </r>
  <r>
    <n v="24"/>
    <x v="23"/>
    <s v="CUST024"/>
    <x v="1"/>
    <n v="49"/>
    <x v="1"/>
    <n v="1"/>
    <n v="300"/>
    <n v="300"/>
    <x v="0"/>
    <x v="0"/>
    <s v="Q4"/>
    <d v="2023-11-01T00:00:00"/>
    <s v="40-49"/>
  </r>
  <r>
    <n v="25"/>
    <x v="24"/>
    <s v="CUST025"/>
    <x v="1"/>
    <n v="64"/>
    <x v="0"/>
    <n v="1"/>
    <n v="50"/>
    <n v="50"/>
    <x v="6"/>
    <x v="0"/>
    <s v="Q4"/>
    <d v="2023-12-01T00:00:00"/>
    <s v="50+"/>
  </r>
  <r>
    <n v="26"/>
    <x v="9"/>
    <s v="CUST026"/>
    <x v="1"/>
    <n v="28"/>
    <x v="2"/>
    <n v="2"/>
    <n v="500"/>
    <n v="1000"/>
    <x v="7"/>
    <x v="0"/>
    <s v="Q4"/>
    <d v="2023-10-01T00:00:00"/>
    <s v="20-29"/>
  </r>
  <r>
    <n v="27"/>
    <x v="25"/>
    <s v="CUST027"/>
    <x v="1"/>
    <n v="38"/>
    <x v="0"/>
    <n v="2"/>
    <n v="25"/>
    <n v="50"/>
    <x v="8"/>
    <x v="0"/>
    <s v="Q3"/>
    <d v="2023-08-01T00:00:00"/>
    <s v="30-39"/>
  </r>
  <r>
    <n v="28"/>
    <x v="26"/>
    <s v="CUST028"/>
    <x v="1"/>
    <n v="43"/>
    <x v="0"/>
    <n v="1"/>
    <n v="500"/>
    <n v="500"/>
    <x v="4"/>
    <x v="0"/>
    <s v="Q2"/>
    <d v="2023-04-01T00:00:00"/>
    <s v="40-49"/>
  </r>
  <r>
    <n v="29"/>
    <x v="27"/>
    <s v="CUST029"/>
    <x v="1"/>
    <n v="42"/>
    <x v="2"/>
    <n v="1"/>
    <n v="30"/>
    <n v="30"/>
    <x v="8"/>
    <x v="0"/>
    <s v="Q3"/>
    <d v="2023-08-01T00:00:00"/>
    <s v="40-49"/>
  </r>
  <r>
    <n v="30"/>
    <x v="28"/>
    <s v="CUST030"/>
    <x v="1"/>
    <n v="39"/>
    <x v="0"/>
    <n v="3"/>
    <n v="300"/>
    <n v="900"/>
    <x v="7"/>
    <x v="0"/>
    <s v="Q4"/>
    <d v="2023-10-01T00:00:00"/>
    <s v="30-39"/>
  </r>
  <r>
    <n v="31"/>
    <x v="29"/>
    <s v="CUST031"/>
    <x v="0"/>
    <n v="44"/>
    <x v="2"/>
    <n v="4"/>
    <n v="300"/>
    <n v="1200"/>
    <x v="3"/>
    <x v="0"/>
    <s v="Q2"/>
    <d v="2023-05-01T00:00:00"/>
    <s v="40-49"/>
  </r>
  <r>
    <n v="32"/>
    <x v="30"/>
    <s v="CUST032"/>
    <x v="0"/>
    <n v="30"/>
    <x v="0"/>
    <n v="3"/>
    <n v="30"/>
    <n v="90"/>
    <x v="2"/>
    <x v="0"/>
    <s v="Q1"/>
    <d v="2023-01-01T00:00:00"/>
    <s v="30-39"/>
  </r>
  <r>
    <n v="33"/>
    <x v="31"/>
    <s v="CUST033"/>
    <x v="1"/>
    <n v="50"/>
    <x v="2"/>
    <n v="2"/>
    <n v="50"/>
    <n v="100"/>
    <x v="5"/>
    <x v="0"/>
    <s v="Q1"/>
    <d v="2023-03-01T00:00:00"/>
    <s v="50+"/>
  </r>
  <r>
    <n v="34"/>
    <x v="32"/>
    <s v="CUST034"/>
    <x v="1"/>
    <n v="51"/>
    <x v="1"/>
    <n v="3"/>
    <n v="50"/>
    <n v="150"/>
    <x v="6"/>
    <x v="0"/>
    <s v="Q4"/>
    <d v="2023-12-01T00:00:00"/>
    <s v="50+"/>
  </r>
  <r>
    <n v="35"/>
    <x v="12"/>
    <s v="CUST035"/>
    <x v="1"/>
    <n v="58"/>
    <x v="0"/>
    <n v="3"/>
    <n v="300"/>
    <n v="900"/>
    <x v="8"/>
    <x v="0"/>
    <s v="Q3"/>
    <d v="2023-08-01T00:00:00"/>
    <s v="50+"/>
  </r>
  <r>
    <n v="36"/>
    <x v="33"/>
    <s v="CUST036"/>
    <x v="0"/>
    <n v="52"/>
    <x v="0"/>
    <n v="3"/>
    <n v="300"/>
    <n v="900"/>
    <x v="10"/>
    <x v="0"/>
    <s v="Q2"/>
    <d v="2023-06-01T00:00:00"/>
    <s v="50+"/>
  </r>
  <r>
    <n v="37"/>
    <x v="29"/>
    <s v="CUST037"/>
    <x v="1"/>
    <n v="18"/>
    <x v="0"/>
    <n v="3"/>
    <n v="25"/>
    <n v="75"/>
    <x v="3"/>
    <x v="0"/>
    <s v="Q2"/>
    <d v="2023-05-01T00:00:00"/>
    <s v="Under 20"/>
  </r>
  <r>
    <n v="38"/>
    <x v="34"/>
    <s v="CUST038"/>
    <x v="0"/>
    <n v="38"/>
    <x v="0"/>
    <n v="4"/>
    <n v="50"/>
    <n v="200"/>
    <x v="5"/>
    <x v="0"/>
    <s v="Q1"/>
    <d v="2023-03-01T00:00:00"/>
    <s v="30-39"/>
  </r>
  <r>
    <n v="39"/>
    <x v="35"/>
    <s v="CUST039"/>
    <x v="0"/>
    <n v="23"/>
    <x v="1"/>
    <n v="4"/>
    <n v="30"/>
    <n v="120"/>
    <x v="4"/>
    <x v="0"/>
    <s v="Q2"/>
    <d v="2023-04-01T00:00:00"/>
    <s v="20-29"/>
  </r>
  <r>
    <n v="40"/>
    <x v="36"/>
    <s v="CUST040"/>
    <x v="0"/>
    <n v="45"/>
    <x v="0"/>
    <n v="1"/>
    <n v="50"/>
    <n v="50"/>
    <x v="10"/>
    <x v="0"/>
    <s v="Q2"/>
    <d v="2023-06-01T00:00:00"/>
    <s v="40-49"/>
  </r>
  <r>
    <n v="41"/>
    <x v="7"/>
    <s v="CUST041"/>
    <x v="0"/>
    <n v="34"/>
    <x v="1"/>
    <n v="2"/>
    <n v="25"/>
    <n v="50"/>
    <x v="1"/>
    <x v="0"/>
    <s v="Q1"/>
    <d v="2023-02-01T00:00:00"/>
    <s v="30-39"/>
  </r>
  <r>
    <n v="42"/>
    <x v="15"/>
    <s v="CUST042"/>
    <x v="0"/>
    <n v="22"/>
    <x v="1"/>
    <n v="3"/>
    <n v="300"/>
    <n v="900"/>
    <x v="1"/>
    <x v="0"/>
    <s v="Q1"/>
    <d v="2023-02-01T00:00:00"/>
    <s v="20-29"/>
  </r>
  <r>
    <n v="43"/>
    <x v="37"/>
    <s v="CUST043"/>
    <x v="1"/>
    <n v="48"/>
    <x v="1"/>
    <n v="1"/>
    <n v="300"/>
    <n v="300"/>
    <x v="11"/>
    <x v="0"/>
    <s v="Q3"/>
    <d v="2023-07-01T00:00:00"/>
    <s v="40-49"/>
  </r>
  <r>
    <n v="44"/>
    <x v="38"/>
    <s v="CUST044"/>
    <x v="1"/>
    <n v="22"/>
    <x v="1"/>
    <n v="1"/>
    <n v="25"/>
    <n v="25"/>
    <x v="1"/>
    <x v="0"/>
    <s v="Q1"/>
    <d v="2023-02-01T00:00:00"/>
    <s v="20-29"/>
  </r>
  <r>
    <n v="45"/>
    <x v="39"/>
    <s v="CUST045"/>
    <x v="1"/>
    <n v="55"/>
    <x v="2"/>
    <n v="1"/>
    <n v="30"/>
    <n v="30"/>
    <x v="11"/>
    <x v="0"/>
    <s v="Q3"/>
    <d v="2023-07-01T00:00:00"/>
    <s v="50+"/>
  </r>
  <r>
    <n v="46"/>
    <x v="40"/>
    <s v="CUST046"/>
    <x v="1"/>
    <n v="20"/>
    <x v="2"/>
    <n v="4"/>
    <n v="300"/>
    <n v="1200"/>
    <x v="10"/>
    <x v="0"/>
    <s v="Q2"/>
    <d v="2023-06-01T00:00:00"/>
    <s v="20-29"/>
  </r>
  <r>
    <n v="47"/>
    <x v="41"/>
    <s v="CUST047"/>
    <x v="1"/>
    <n v="40"/>
    <x v="0"/>
    <n v="3"/>
    <n v="500"/>
    <n v="1500"/>
    <x v="0"/>
    <x v="0"/>
    <s v="Q4"/>
    <d v="2023-11-01T00:00:00"/>
    <s v="40-49"/>
  </r>
  <r>
    <n v="48"/>
    <x v="42"/>
    <s v="CUST048"/>
    <x v="0"/>
    <n v="54"/>
    <x v="2"/>
    <n v="3"/>
    <n v="300"/>
    <n v="900"/>
    <x v="3"/>
    <x v="0"/>
    <s v="Q2"/>
    <d v="2023-05-01T00:00:00"/>
    <s v="50+"/>
  </r>
  <r>
    <n v="49"/>
    <x v="43"/>
    <s v="CUST049"/>
    <x v="1"/>
    <n v="54"/>
    <x v="2"/>
    <n v="2"/>
    <n v="500"/>
    <n v="1000"/>
    <x v="2"/>
    <x v="0"/>
    <s v="Q1"/>
    <d v="2023-01-01T00:00:00"/>
    <s v="50+"/>
  </r>
  <r>
    <n v="50"/>
    <x v="44"/>
    <s v="CUST050"/>
    <x v="1"/>
    <n v="27"/>
    <x v="0"/>
    <n v="3"/>
    <n v="25"/>
    <n v="75"/>
    <x v="8"/>
    <x v="0"/>
    <s v="Q3"/>
    <d v="2023-08-01T00:00:00"/>
    <s v="20-29"/>
  </r>
  <r>
    <n v="51"/>
    <x v="45"/>
    <s v="CUST051"/>
    <x v="0"/>
    <n v="27"/>
    <x v="0"/>
    <n v="3"/>
    <n v="25"/>
    <n v="75"/>
    <x v="7"/>
    <x v="0"/>
    <s v="Q4"/>
    <d v="2023-10-01T00:00:00"/>
    <s v="20-29"/>
  </r>
  <r>
    <n v="52"/>
    <x v="46"/>
    <s v="CUST052"/>
    <x v="1"/>
    <n v="36"/>
    <x v="0"/>
    <n v="1"/>
    <n v="300"/>
    <n v="300"/>
    <x v="5"/>
    <x v="0"/>
    <s v="Q1"/>
    <d v="2023-03-01T00:00:00"/>
    <s v="30-39"/>
  </r>
  <r>
    <n v="53"/>
    <x v="47"/>
    <s v="CUST053"/>
    <x v="0"/>
    <n v="34"/>
    <x v="2"/>
    <n v="2"/>
    <n v="50"/>
    <n v="100"/>
    <x v="11"/>
    <x v="0"/>
    <s v="Q3"/>
    <d v="2023-07-01T00:00:00"/>
    <s v="30-39"/>
  </r>
  <r>
    <n v="54"/>
    <x v="48"/>
    <s v="CUST054"/>
    <x v="1"/>
    <n v="38"/>
    <x v="2"/>
    <n v="3"/>
    <n v="500"/>
    <n v="1500"/>
    <x v="1"/>
    <x v="0"/>
    <s v="Q1"/>
    <d v="2023-02-01T00:00:00"/>
    <s v="30-39"/>
  </r>
  <r>
    <n v="55"/>
    <x v="49"/>
    <s v="CUST055"/>
    <x v="0"/>
    <n v="31"/>
    <x v="0"/>
    <n v="4"/>
    <n v="30"/>
    <n v="120"/>
    <x v="7"/>
    <x v="0"/>
    <s v="Q4"/>
    <d v="2023-10-01T00:00:00"/>
    <s v="30-39"/>
  </r>
  <r>
    <n v="56"/>
    <x v="50"/>
    <s v="CUST056"/>
    <x v="1"/>
    <n v="26"/>
    <x v="1"/>
    <n v="3"/>
    <n v="300"/>
    <n v="900"/>
    <x v="3"/>
    <x v="0"/>
    <s v="Q2"/>
    <d v="2023-05-01T00:00:00"/>
    <s v="20-29"/>
  </r>
  <r>
    <n v="57"/>
    <x v="51"/>
    <s v="CUST057"/>
    <x v="1"/>
    <n v="63"/>
    <x v="0"/>
    <n v="1"/>
    <n v="30"/>
    <n v="30"/>
    <x v="0"/>
    <x v="0"/>
    <s v="Q4"/>
    <d v="2023-11-01T00:00:00"/>
    <s v="50+"/>
  </r>
  <r>
    <n v="58"/>
    <x v="52"/>
    <s v="CUST058"/>
    <x v="0"/>
    <n v="18"/>
    <x v="1"/>
    <n v="4"/>
    <n v="300"/>
    <n v="1200"/>
    <x v="0"/>
    <x v="0"/>
    <s v="Q4"/>
    <d v="2023-11-01T00:00:00"/>
    <s v="Under 20"/>
  </r>
  <r>
    <n v="59"/>
    <x v="53"/>
    <s v="CUST059"/>
    <x v="0"/>
    <n v="62"/>
    <x v="1"/>
    <n v="1"/>
    <n v="50"/>
    <n v="50"/>
    <x v="11"/>
    <x v="0"/>
    <s v="Q3"/>
    <d v="2023-07-01T00:00:00"/>
    <s v="50+"/>
  </r>
  <r>
    <n v="60"/>
    <x v="54"/>
    <s v="CUST060"/>
    <x v="0"/>
    <n v="30"/>
    <x v="0"/>
    <n v="3"/>
    <n v="50"/>
    <n v="150"/>
    <x v="7"/>
    <x v="0"/>
    <s v="Q4"/>
    <d v="2023-10-01T00:00:00"/>
    <s v="30-39"/>
  </r>
  <r>
    <n v="61"/>
    <x v="55"/>
    <s v="CUST061"/>
    <x v="0"/>
    <n v="21"/>
    <x v="0"/>
    <n v="4"/>
    <n v="50"/>
    <n v="200"/>
    <x v="4"/>
    <x v="0"/>
    <s v="Q2"/>
    <d v="2023-04-01T00:00:00"/>
    <s v="20-29"/>
  </r>
  <r>
    <n v="62"/>
    <x v="56"/>
    <s v="CUST062"/>
    <x v="0"/>
    <n v="18"/>
    <x v="0"/>
    <n v="2"/>
    <n v="50"/>
    <n v="100"/>
    <x v="6"/>
    <x v="0"/>
    <s v="Q4"/>
    <d v="2023-12-01T00:00:00"/>
    <s v="Under 20"/>
  </r>
  <r>
    <n v="63"/>
    <x v="57"/>
    <s v="CUST063"/>
    <x v="0"/>
    <n v="57"/>
    <x v="2"/>
    <n v="2"/>
    <n v="25"/>
    <n v="50"/>
    <x v="1"/>
    <x v="0"/>
    <s v="Q1"/>
    <d v="2023-02-01T00:00:00"/>
    <s v="50+"/>
  </r>
  <r>
    <n v="64"/>
    <x v="58"/>
    <s v="CUST064"/>
    <x v="0"/>
    <n v="49"/>
    <x v="1"/>
    <n v="4"/>
    <n v="25"/>
    <n v="100"/>
    <x v="2"/>
    <x v="0"/>
    <s v="Q1"/>
    <d v="2023-01-01T00:00:00"/>
    <s v="40-49"/>
  </r>
  <r>
    <n v="65"/>
    <x v="59"/>
    <s v="CUST065"/>
    <x v="0"/>
    <n v="51"/>
    <x v="2"/>
    <n v="4"/>
    <n v="500"/>
    <n v="2000"/>
    <x v="6"/>
    <x v="0"/>
    <s v="Q4"/>
    <d v="2023-12-01T00:00:00"/>
    <s v="50+"/>
  </r>
  <r>
    <n v="66"/>
    <x v="60"/>
    <s v="CUST066"/>
    <x v="1"/>
    <n v="45"/>
    <x v="2"/>
    <n v="1"/>
    <n v="30"/>
    <n v="30"/>
    <x v="4"/>
    <x v="0"/>
    <s v="Q2"/>
    <d v="2023-04-01T00:00:00"/>
    <s v="40-49"/>
  </r>
  <r>
    <n v="67"/>
    <x v="61"/>
    <s v="CUST067"/>
    <x v="1"/>
    <n v="48"/>
    <x v="0"/>
    <n v="4"/>
    <n v="300"/>
    <n v="1200"/>
    <x v="3"/>
    <x v="0"/>
    <s v="Q2"/>
    <d v="2023-05-01T00:00:00"/>
    <s v="40-49"/>
  </r>
  <r>
    <n v="68"/>
    <x v="48"/>
    <s v="CUST068"/>
    <x v="0"/>
    <n v="25"/>
    <x v="2"/>
    <n v="1"/>
    <n v="300"/>
    <n v="300"/>
    <x v="1"/>
    <x v="0"/>
    <s v="Q1"/>
    <d v="2023-02-01T00:00:00"/>
    <s v="20-29"/>
  </r>
  <r>
    <n v="69"/>
    <x v="17"/>
    <s v="CUST069"/>
    <x v="1"/>
    <n v="56"/>
    <x v="0"/>
    <n v="3"/>
    <n v="25"/>
    <n v="75"/>
    <x v="4"/>
    <x v="0"/>
    <s v="Q2"/>
    <d v="2023-04-01T00:00:00"/>
    <s v="50+"/>
  </r>
  <r>
    <n v="70"/>
    <x v="62"/>
    <s v="CUST070"/>
    <x v="1"/>
    <n v="43"/>
    <x v="1"/>
    <n v="1"/>
    <n v="300"/>
    <n v="300"/>
    <x v="1"/>
    <x v="0"/>
    <s v="Q1"/>
    <d v="2023-02-01T00:00:00"/>
    <s v="40-49"/>
  </r>
  <r>
    <n v="71"/>
    <x v="37"/>
    <s v="CUST071"/>
    <x v="1"/>
    <n v="51"/>
    <x v="0"/>
    <n v="4"/>
    <n v="25"/>
    <n v="100"/>
    <x v="11"/>
    <x v="0"/>
    <s v="Q3"/>
    <d v="2023-07-01T00:00:00"/>
    <s v="50+"/>
  </r>
  <r>
    <n v="72"/>
    <x v="29"/>
    <s v="CUST072"/>
    <x v="1"/>
    <n v="20"/>
    <x v="2"/>
    <n v="4"/>
    <n v="500"/>
    <n v="2000"/>
    <x v="3"/>
    <x v="0"/>
    <s v="Q2"/>
    <d v="2023-05-01T00:00:00"/>
    <s v="20-29"/>
  </r>
  <r>
    <n v="73"/>
    <x v="63"/>
    <s v="CUST073"/>
    <x v="0"/>
    <n v="29"/>
    <x v="2"/>
    <n v="3"/>
    <n v="30"/>
    <n v="90"/>
    <x v="8"/>
    <x v="0"/>
    <s v="Q3"/>
    <d v="2023-08-01T00:00:00"/>
    <s v="20-29"/>
  </r>
  <r>
    <n v="74"/>
    <x v="64"/>
    <s v="CUST074"/>
    <x v="1"/>
    <n v="18"/>
    <x v="0"/>
    <n v="4"/>
    <n v="500"/>
    <n v="2000"/>
    <x v="0"/>
    <x v="0"/>
    <s v="Q4"/>
    <d v="2023-11-01T00:00:00"/>
    <s v="Under 20"/>
  </r>
  <r>
    <n v="75"/>
    <x v="65"/>
    <s v="CUST075"/>
    <x v="0"/>
    <n v="61"/>
    <x v="0"/>
    <n v="4"/>
    <n v="50"/>
    <n v="200"/>
    <x v="11"/>
    <x v="0"/>
    <s v="Q3"/>
    <d v="2023-07-01T00:00:00"/>
    <s v="50+"/>
  </r>
  <r>
    <n v="76"/>
    <x v="66"/>
    <s v="CUST076"/>
    <x v="1"/>
    <n v="22"/>
    <x v="2"/>
    <n v="2"/>
    <n v="50"/>
    <n v="100"/>
    <x v="5"/>
    <x v="0"/>
    <s v="Q1"/>
    <d v="2023-03-01T00:00:00"/>
    <s v="20-29"/>
  </r>
  <r>
    <n v="77"/>
    <x v="67"/>
    <s v="CUST077"/>
    <x v="1"/>
    <n v="47"/>
    <x v="1"/>
    <n v="2"/>
    <n v="50"/>
    <n v="100"/>
    <x v="11"/>
    <x v="0"/>
    <s v="Q3"/>
    <d v="2023-07-01T00:00:00"/>
    <s v="40-49"/>
  </r>
  <r>
    <n v="78"/>
    <x v="68"/>
    <s v="CUST078"/>
    <x v="1"/>
    <n v="47"/>
    <x v="1"/>
    <n v="3"/>
    <n v="500"/>
    <n v="1500"/>
    <x v="11"/>
    <x v="0"/>
    <s v="Q3"/>
    <d v="2023-07-01T00:00:00"/>
    <s v="40-49"/>
  </r>
  <r>
    <n v="79"/>
    <x v="69"/>
    <s v="CUST079"/>
    <x v="0"/>
    <n v="34"/>
    <x v="0"/>
    <n v="1"/>
    <n v="300"/>
    <n v="300"/>
    <x v="4"/>
    <x v="0"/>
    <s v="Q2"/>
    <d v="2023-04-01T00:00:00"/>
    <s v="30-39"/>
  </r>
  <r>
    <n v="80"/>
    <x v="70"/>
    <s v="CUST080"/>
    <x v="1"/>
    <n v="64"/>
    <x v="1"/>
    <n v="2"/>
    <n v="30"/>
    <n v="60"/>
    <x v="6"/>
    <x v="0"/>
    <s v="Q4"/>
    <d v="2023-12-01T00:00:00"/>
    <s v="50+"/>
  </r>
  <r>
    <n v="81"/>
    <x v="71"/>
    <s v="CUST081"/>
    <x v="0"/>
    <n v="40"/>
    <x v="2"/>
    <n v="1"/>
    <n v="50"/>
    <n v="50"/>
    <x v="3"/>
    <x v="0"/>
    <s v="Q2"/>
    <d v="2023-05-01T00:00:00"/>
    <s v="40-49"/>
  </r>
  <r>
    <n v="82"/>
    <x v="24"/>
    <s v="CUST082"/>
    <x v="1"/>
    <n v="32"/>
    <x v="0"/>
    <n v="4"/>
    <n v="50"/>
    <n v="200"/>
    <x v="6"/>
    <x v="0"/>
    <s v="Q4"/>
    <d v="2023-12-01T00:00:00"/>
    <s v="30-39"/>
  </r>
  <r>
    <n v="83"/>
    <x v="72"/>
    <s v="CUST083"/>
    <x v="0"/>
    <n v="54"/>
    <x v="2"/>
    <n v="2"/>
    <n v="50"/>
    <n v="100"/>
    <x v="6"/>
    <x v="0"/>
    <s v="Q4"/>
    <d v="2023-12-01T00:00:00"/>
    <s v="50+"/>
  </r>
  <r>
    <n v="84"/>
    <x v="73"/>
    <s v="CUST084"/>
    <x v="1"/>
    <n v="38"/>
    <x v="2"/>
    <n v="3"/>
    <n v="30"/>
    <n v="90"/>
    <x v="0"/>
    <x v="0"/>
    <s v="Q4"/>
    <d v="2023-11-01T00:00:00"/>
    <s v="30-39"/>
  </r>
  <r>
    <n v="85"/>
    <x v="74"/>
    <s v="CUST085"/>
    <x v="0"/>
    <n v="31"/>
    <x v="1"/>
    <n v="3"/>
    <n v="50"/>
    <n v="150"/>
    <x v="1"/>
    <x v="0"/>
    <s v="Q1"/>
    <d v="2023-02-01T00:00:00"/>
    <s v="30-39"/>
  </r>
  <r>
    <n v="86"/>
    <x v="75"/>
    <s v="CUST086"/>
    <x v="0"/>
    <n v="19"/>
    <x v="0"/>
    <n v="3"/>
    <n v="30"/>
    <n v="90"/>
    <x v="0"/>
    <x v="0"/>
    <s v="Q4"/>
    <d v="2023-11-01T00:00:00"/>
    <s v="Under 20"/>
  </r>
  <r>
    <n v="87"/>
    <x v="64"/>
    <s v="CUST087"/>
    <x v="1"/>
    <n v="28"/>
    <x v="0"/>
    <n v="2"/>
    <n v="50"/>
    <n v="100"/>
    <x v="0"/>
    <x v="0"/>
    <s v="Q4"/>
    <d v="2023-11-01T00:00:00"/>
    <s v="20-29"/>
  </r>
  <r>
    <n v="88"/>
    <x v="76"/>
    <s v="CUST088"/>
    <x v="0"/>
    <n v="56"/>
    <x v="1"/>
    <n v="1"/>
    <n v="500"/>
    <n v="500"/>
    <x v="5"/>
    <x v="0"/>
    <s v="Q1"/>
    <d v="2023-03-01T00:00:00"/>
    <s v="50+"/>
  </r>
  <r>
    <n v="89"/>
    <x v="77"/>
    <s v="CUST089"/>
    <x v="1"/>
    <n v="55"/>
    <x v="2"/>
    <n v="4"/>
    <n v="500"/>
    <n v="2000"/>
    <x v="7"/>
    <x v="0"/>
    <s v="Q4"/>
    <d v="2023-10-01T00:00:00"/>
    <s v="50+"/>
  </r>
  <r>
    <n v="90"/>
    <x v="4"/>
    <s v="CUST090"/>
    <x v="1"/>
    <n v="51"/>
    <x v="2"/>
    <n v="1"/>
    <n v="30"/>
    <n v="30"/>
    <x v="3"/>
    <x v="0"/>
    <s v="Q2"/>
    <d v="2023-05-01T00:00:00"/>
    <s v="50+"/>
  </r>
  <r>
    <n v="91"/>
    <x v="66"/>
    <s v="CUST091"/>
    <x v="1"/>
    <n v="55"/>
    <x v="2"/>
    <n v="1"/>
    <n v="500"/>
    <n v="500"/>
    <x v="5"/>
    <x v="0"/>
    <s v="Q1"/>
    <d v="2023-03-01T00:00:00"/>
    <s v="50+"/>
  </r>
  <r>
    <n v="92"/>
    <x v="78"/>
    <s v="CUST092"/>
    <x v="1"/>
    <n v="51"/>
    <x v="2"/>
    <n v="4"/>
    <n v="30"/>
    <n v="120"/>
    <x v="8"/>
    <x v="0"/>
    <s v="Q3"/>
    <d v="2023-08-01T00:00:00"/>
    <s v="50+"/>
  </r>
  <r>
    <n v="93"/>
    <x v="37"/>
    <s v="CUST093"/>
    <x v="1"/>
    <n v="35"/>
    <x v="0"/>
    <n v="4"/>
    <n v="500"/>
    <n v="2000"/>
    <x v="11"/>
    <x v="0"/>
    <s v="Q3"/>
    <d v="2023-07-01T00:00:00"/>
    <s v="30-39"/>
  </r>
  <r>
    <n v="94"/>
    <x v="79"/>
    <s v="CUST094"/>
    <x v="1"/>
    <n v="47"/>
    <x v="0"/>
    <n v="2"/>
    <n v="500"/>
    <n v="1000"/>
    <x v="3"/>
    <x v="0"/>
    <s v="Q2"/>
    <d v="2023-05-01T00:00:00"/>
    <s v="40-49"/>
  </r>
  <r>
    <n v="95"/>
    <x v="0"/>
    <s v="CUST095"/>
    <x v="1"/>
    <n v="32"/>
    <x v="1"/>
    <n v="2"/>
    <n v="30"/>
    <n v="60"/>
    <x v="0"/>
    <x v="0"/>
    <s v="Q4"/>
    <d v="2023-11-01T00:00:00"/>
    <s v="30-39"/>
  </r>
  <r>
    <n v="96"/>
    <x v="80"/>
    <s v="CUST096"/>
    <x v="1"/>
    <n v="44"/>
    <x v="1"/>
    <n v="2"/>
    <n v="300"/>
    <n v="600"/>
    <x v="6"/>
    <x v="0"/>
    <s v="Q4"/>
    <d v="2023-12-01T00:00:00"/>
    <s v="40-49"/>
  </r>
  <r>
    <n v="97"/>
    <x v="81"/>
    <s v="CUST097"/>
    <x v="1"/>
    <n v="51"/>
    <x v="0"/>
    <n v="2"/>
    <n v="500"/>
    <n v="1000"/>
    <x v="7"/>
    <x v="0"/>
    <s v="Q4"/>
    <d v="2023-10-01T00:00:00"/>
    <s v="50+"/>
  </r>
  <r>
    <n v="98"/>
    <x v="26"/>
    <s v="CUST098"/>
    <x v="1"/>
    <n v="55"/>
    <x v="0"/>
    <n v="2"/>
    <n v="50"/>
    <n v="100"/>
    <x v="4"/>
    <x v="0"/>
    <s v="Q2"/>
    <d v="2023-04-01T00:00:00"/>
    <s v="50+"/>
  </r>
  <r>
    <n v="99"/>
    <x v="82"/>
    <s v="CUST099"/>
    <x v="1"/>
    <n v="50"/>
    <x v="2"/>
    <n v="4"/>
    <n v="300"/>
    <n v="1200"/>
    <x v="6"/>
    <x v="0"/>
    <s v="Q4"/>
    <d v="2023-12-01T00:00:00"/>
    <s v="50+"/>
  </r>
  <r>
    <n v="100"/>
    <x v="83"/>
    <s v="CUST100"/>
    <x v="0"/>
    <n v="41"/>
    <x v="2"/>
    <n v="1"/>
    <n v="30"/>
    <n v="30"/>
    <x v="10"/>
    <x v="0"/>
    <s v="Q2"/>
    <d v="2023-06-01T00:00:00"/>
    <s v="40-49"/>
  </r>
  <r>
    <n v="101"/>
    <x v="84"/>
    <s v="CUST101"/>
    <x v="0"/>
    <n v="32"/>
    <x v="1"/>
    <n v="2"/>
    <n v="300"/>
    <n v="600"/>
    <x v="2"/>
    <x v="0"/>
    <s v="Q1"/>
    <d v="2023-01-01T00:00:00"/>
    <s v="30-39"/>
  </r>
  <r>
    <n v="102"/>
    <x v="85"/>
    <s v="CUST102"/>
    <x v="1"/>
    <n v="47"/>
    <x v="0"/>
    <n v="2"/>
    <n v="25"/>
    <n v="50"/>
    <x v="4"/>
    <x v="0"/>
    <s v="Q2"/>
    <d v="2023-04-01T00:00:00"/>
    <s v="40-49"/>
  </r>
  <r>
    <n v="103"/>
    <x v="13"/>
    <s v="CUST103"/>
    <x v="1"/>
    <n v="59"/>
    <x v="1"/>
    <n v="1"/>
    <n v="25"/>
    <n v="25"/>
    <x v="2"/>
    <x v="0"/>
    <s v="Q1"/>
    <d v="2023-01-01T00:00:00"/>
    <s v="50+"/>
  </r>
  <r>
    <n v="104"/>
    <x v="86"/>
    <s v="CUST104"/>
    <x v="1"/>
    <n v="34"/>
    <x v="0"/>
    <n v="2"/>
    <n v="500"/>
    <n v="1000"/>
    <x v="10"/>
    <x v="0"/>
    <s v="Q2"/>
    <d v="2023-06-01T00:00:00"/>
    <s v="30-39"/>
  </r>
  <r>
    <n v="105"/>
    <x v="87"/>
    <s v="CUST105"/>
    <x v="1"/>
    <n v="22"/>
    <x v="2"/>
    <n v="1"/>
    <n v="500"/>
    <n v="500"/>
    <x v="11"/>
    <x v="0"/>
    <s v="Q3"/>
    <d v="2023-07-01T00:00:00"/>
    <s v="20-29"/>
  </r>
  <r>
    <n v="106"/>
    <x v="88"/>
    <s v="CUST106"/>
    <x v="1"/>
    <n v="46"/>
    <x v="1"/>
    <n v="1"/>
    <n v="50"/>
    <n v="50"/>
    <x v="3"/>
    <x v="0"/>
    <s v="Q2"/>
    <d v="2023-05-01T00:00:00"/>
    <s v="40-49"/>
  </r>
  <r>
    <n v="107"/>
    <x v="89"/>
    <s v="CUST107"/>
    <x v="1"/>
    <n v="21"/>
    <x v="1"/>
    <n v="4"/>
    <n v="300"/>
    <n v="1200"/>
    <x v="1"/>
    <x v="0"/>
    <s v="Q1"/>
    <d v="2023-02-01T00:00:00"/>
    <s v="20-29"/>
  </r>
  <r>
    <n v="108"/>
    <x v="90"/>
    <s v="CUST108"/>
    <x v="1"/>
    <n v="27"/>
    <x v="0"/>
    <n v="3"/>
    <n v="25"/>
    <n v="75"/>
    <x v="4"/>
    <x v="0"/>
    <s v="Q2"/>
    <d v="2023-04-01T00:00:00"/>
    <s v="20-29"/>
  </r>
  <r>
    <n v="109"/>
    <x v="91"/>
    <s v="CUST109"/>
    <x v="1"/>
    <n v="34"/>
    <x v="2"/>
    <n v="4"/>
    <n v="500"/>
    <n v="2000"/>
    <x v="7"/>
    <x v="0"/>
    <s v="Q4"/>
    <d v="2023-10-01T00:00:00"/>
    <s v="30-39"/>
  </r>
  <r>
    <n v="110"/>
    <x v="86"/>
    <s v="CUST110"/>
    <x v="0"/>
    <n v="27"/>
    <x v="1"/>
    <n v="3"/>
    <n v="300"/>
    <n v="900"/>
    <x v="10"/>
    <x v="0"/>
    <s v="Q2"/>
    <d v="2023-06-01T00:00:00"/>
    <s v="20-29"/>
  </r>
  <r>
    <n v="111"/>
    <x v="90"/>
    <s v="CUST111"/>
    <x v="1"/>
    <n v="34"/>
    <x v="2"/>
    <n v="3"/>
    <n v="500"/>
    <n v="1500"/>
    <x v="4"/>
    <x v="0"/>
    <s v="Q2"/>
    <d v="2023-04-01T00:00:00"/>
    <s v="30-39"/>
  </r>
  <r>
    <n v="112"/>
    <x v="92"/>
    <s v="CUST112"/>
    <x v="0"/>
    <n v="37"/>
    <x v="1"/>
    <n v="3"/>
    <n v="500"/>
    <n v="1500"/>
    <x v="6"/>
    <x v="0"/>
    <s v="Q4"/>
    <d v="2023-12-01T00:00:00"/>
    <s v="30-39"/>
  </r>
  <r>
    <n v="113"/>
    <x v="93"/>
    <s v="CUST113"/>
    <x v="1"/>
    <n v="41"/>
    <x v="2"/>
    <n v="2"/>
    <n v="25"/>
    <n v="50"/>
    <x v="9"/>
    <x v="0"/>
    <s v="Q3"/>
    <d v="2023-09-01T00:00:00"/>
    <s v="40-49"/>
  </r>
  <r>
    <n v="114"/>
    <x v="94"/>
    <s v="CUST114"/>
    <x v="1"/>
    <n v="22"/>
    <x v="0"/>
    <n v="4"/>
    <n v="25"/>
    <n v="100"/>
    <x v="11"/>
    <x v="0"/>
    <s v="Q3"/>
    <d v="2023-07-01T00:00:00"/>
    <s v="20-29"/>
  </r>
  <r>
    <n v="115"/>
    <x v="95"/>
    <s v="CUST115"/>
    <x v="0"/>
    <n v="51"/>
    <x v="1"/>
    <n v="3"/>
    <n v="500"/>
    <n v="1500"/>
    <x v="0"/>
    <x v="0"/>
    <s v="Q4"/>
    <d v="2023-11-01T00:00:00"/>
    <s v="50+"/>
  </r>
  <r>
    <n v="116"/>
    <x v="96"/>
    <s v="CUST116"/>
    <x v="1"/>
    <n v="23"/>
    <x v="1"/>
    <n v="1"/>
    <n v="30"/>
    <n v="30"/>
    <x v="8"/>
    <x v="0"/>
    <s v="Q3"/>
    <d v="2023-08-01T00:00:00"/>
    <s v="20-29"/>
  </r>
  <r>
    <n v="117"/>
    <x v="97"/>
    <s v="CUST117"/>
    <x v="0"/>
    <n v="19"/>
    <x v="2"/>
    <n v="2"/>
    <n v="500"/>
    <n v="1000"/>
    <x v="5"/>
    <x v="0"/>
    <s v="Q1"/>
    <d v="2023-03-01T00:00:00"/>
    <s v="Under 20"/>
  </r>
  <r>
    <n v="118"/>
    <x v="42"/>
    <s v="CUST118"/>
    <x v="1"/>
    <n v="30"/>
    <x v="2"/>
    <n v="4"/>
    <n v="500"/>
    <n v="2000"/>
    <x v="3"/>
    <x v="0"/>
    <s v="Q2"/>
    <d v="2023-05-01T00:00:00"/>
    <s v="30-39"/>
  </r>
  <r>
    <n v="119"/>
    <x v="6"/>
    <s v="CUST119"/>
    <x v="1"/>
    <n v="60"/>
    <x v="1"/>
    <n v="3"/>
    <n v="50"/>
    <n v="150"/>
    <x v="5"/>
    <x v="0"/>
    <s v="Q1"/>
    <d v="2023-03-01T00:00:00"/>
    <s v="50+"/>
  </r>
  <r>
    <n v="120"/>
    <x v="98"/>
    <s v="CUST120"/>
    <x v="0"/>
    <n v="60"/>
    <x v="0"/>
    <n v="1"/>
    <n v="50"/>
    <n v="50"/>
    <x v="3"/>
    <x v="0"/>
    <s v="Q2"/>
    <d v="2023-05-01T00:00:00"/>
    <s v="50+"/>
  </r>
  <r>
    <n v="121"/>
    <x v="21"/>
    <s v="CUST121"/>
    <x v="1"/>
    <n v="28"/>
    <x v="2"/>
    <n v="4"/>
    <n v="50"/>
    <n v="200"/>
    <x v="7"/>
    <x v="0"/>
    <s v="Q4"/>
    <d v="2023-10-01T00:00:00"/>
    <s v="20-29"/>
  </r>
  <r>
    <n v="122"/>
    <x v="99"/>
    <s v="CUST122"/>
    <x v="0"/>
    <n v="64"/>
    <x v="2"/>
    <n v="4"/>
    <n v="30"/>
    <n v="120"/>
    <x v="7"/>
    <x v="0"/>
    <s v="Q4"/>
    <d v="2023-10-01T00:00:00"/>
    <s v="50+"/>
  </r>
  <r>
    <n v="123"/>
    <x v="100"/>
    <s v="CUST123"/>
    <x v="1"/>
    <n v="40"/>
    <x v="2"/>
    <n v="2"/>
    <n v="30"/>
    <n v="60"/>
    <x v="3"/>
    <x v="0"/>
    <s v="Q2"/>
    <d v="2023-05-01T00:00:00"/>
    <s v="40-49"/>
  </r>
  <r>
    <n v="124"/>
    <x v="101"/>
    <s v="CUST124"/>
    <x v="0"/>
    <n v="33"/>
    <x v="1"/>
    <n v="4"/>
    <n v="500"/>
    <n v="2000"/>
    <x v="7"/>
    <x v="0"/>
    <s v="Q4"/>
    <d v="2023-10-01T00:00:00"/>
    <s v="30-39"/>
  </r>
  <r>
    <n v="125"/>
    <x v="102"/>
    <s v="CUST125"/>
    <x v="0"/>
    <n v="48"/>
    <x v="1"/>
    <n v="2"/>
    <n v="50"/>
    <n v="100"/>
    <x v="8"/>
    <x v="0"/>
    <s v="Q3"/>
    <d v="2023-08-01T00:00:00"/>
    <s v="40-49"/>
  </r>
  <r>
    <n v="126"/>
    <x v="103"/>
    <s v="CUST126"/>
    <x v="1"/>
    <n v="28"/>
    <x v="1"/>
    <n v="3"/>
    <n v="30"/>
    <n v="90"/>
    <x v="7"/>
    <x v="0"/>
    <s v="Q4"/>
    <d v="2023-10-01T00:00:00"/>
    <s v="20-29"/>
  </r>
  <r>
    <n v="127"/>
    <x v="104"/>
    <s v="CUST127"/>
    <x v="1"/>
    <n v="33"/>
    <x v="1"/>
    <n v="2"/>
    <n v="25"/>
    <n v="50"/>
    <x v="11"/>
    <x v="0"/>
    <s v="Q3"/>
    <d v="2023-07-01T00:00:00"/>
    <s v="30-39"/>
  </r>
  <r>
    <n v="128"/>
    <x v="53"/>
    <s v="CUST128"/>
    <x v="0"/>
    <n v="25"/>
    <x v="0"/>
    <n v="1"/>
    <n v="500"/>
    <n v="500"/>
    <x v="11"/>
    <x v="0"/>
    <s v="Q3"/>
    <d v="2023-07-01T00:00:00"/>
    <s v="20-29"/>
  </r>
  <r>
    <n v="129"/>
    <x v="26"/>
    <s v="CUST129"/>
    <x v="1"/>
    <n v="21"/>
    <x v="0"/>
    <n v="2"/>
    <n v="300"/>
    <n v="600"/>
    <x v="4"/>
    <x v="0"/>
    <s v="Q2"/>
    <d v="2023-04-01T00:00:00"/>
    <s v="20-29"/>
  </r>
  <r>
    <n v="130"/>
    <x v="105"/>
    <s v="CUST130"/>
    <x v="1"/>
    <n v="57"/>
    <x v="1"/>
    <n v="1"/>
    <n v="500"/>
    <n v="500"/>
    <x v="5"/>
    <x v="0"/>
    <s v="Q1"/>
    <d v="2023-03-01T00:00:00"/>
    <s v="50+"/>
  </r>
  <r>
    <n v="131"/>
    <x v="106"/>
    <s v="CUST131"/>
    <x v="1"/>
    <n v="21"/>
    <x v="0"/>
    <n v="2"/>
    <n v="300"/>
    <n v="600"/>
    <x v="9"/>
    <x v="0"/>
    <s v="Q3"/>
    <d v="2023-09-01T00:00:00"/>
    <s v="20-29"/>
  </r>
  <r>
    <n v="132"/>
    <x v="107"/>
    <s v="CUST132"/>
    <x v="0"/>
    <n v="42"/>
    <x v="2"/>
    <n v="4"/>
    <n v="50"/>
    <n v="200"/>
    <x v="9"/>
    <x v="0"/>
    <s v="Q3"/>
    <d v="2023-09-01T00:00:00"/>
    <s v="40-49"/>
  </r>
  <r>
    <n v="133"/>
    <x v="108"/>
    <s v="CUST133"/>
    <x v="0"/>
    <n v="20"/>
    <x v="2"/>
    <n v="3"/>
    <n v="300"/>
    <n v="900"/>
    <x v="1"/>
    <x v="0"/>
    <s v="Q1"/>
    <d v="2023-02-01T00:00:00"/>
    <s v="20-29"/>
  </r>
  <r>
    <n v="134"/>
    <x v="109"/>
    <s v="CUST134"/>
    <x v="0"/>
    <n v="49"/>
    <x v="2"/>
    <n v="1"/>
    <n v="50"/>
    <n v="50"/>
    <x v="2"/>
    <x v="0"/>
    <s v="Q1"/>
    <d v="2023-01-01T00:00:00"/>
    <s v="40-49"/>
  </r>
  <r>
    <n v="135"/>
    <x v="110"/>
    <s v="CUST135"/>
    <x v="0"/>
    <n v="20"/>
    <x v="1"/>
    <n v="2"/>
    <n v="25"/>
    <n v="50"/>
    <x v="1"/>
    <x v="0"/>
    <s v="Q1"/>
    <d v="2023-02-01T00:00:00"/>
    <s v="20-29"/>
  </r>
  <r>
    <n v="136"/>
    <x v="111"/>
    <s v="CUST136"/>
    <x v="0"/>
    <n v="44"/>
    <x v="2"/>
    <n v="2"/>
    <n v="300"/>
    <n v="600"/>
    <x v="5"/>
    <x v="0"/>
    <s v="Q1"/>
    <d v="2023-03-01T00:00:00"/>
    <s v="40-49"/>
  </r>
  <r>
    <n v="137"/>
    <x v="51"/>
    <s v="CUST137"/>
    <x v="0"/>
    <n v="46"/>
    <x v="0"/>
    <n v="2"/>
    <n v="500"/>
    <n v="1000"/>
    <x v="0"/>
    <x v="0"/>
    <s v="Q4"/>
    <d v="2023-11-01T00:00:00"/>
    <s v="40-49"/>
  </r>
  <r>
    <n v="138"/>
    <x v="31"/>
    <s v="CUST138"/>
    <x v="0"/>
    <n v="49"/>
    <x v="1"/>
    <n v="4"/>
    <n v="50"/>
    <n v="200"/>
    <x v="5"/>
    <x v="0"/>
    <s v="Q1"/>
    <d v="2023-03-01T00:00:00"/>
    <s v="40-49"/>
  </r>
  <r>
    <n v="139"/>
    <x v="112"/>
    <s v="CUST139"/>
    <x v="0"/>
    <n v="36"/>
    <x v="0"/>
    <n v="4"/>
    <n v="500"/>
    <n v="2000"/>
    <x v="6"/>
    <x v="0"/>
    <s v="Q4"/>
    <d v="2023-12-01T00:00:00"/>
    <s v="30-39"/>
  </r>
  <r>
    <n v="140"/>
    <x v="12"/>
    <s v="CUST140"/>
    <x v="0"/>
    <n v="38"/>
    <x v="2"/>
    <n v="1"/>
    <n v="30"/>
    <n v="30"/>
    <x v="8"/>
    <x v="0"/>
    <s v="Q3"/>
    <d v="2023-08-01T00:00:00"/>
    <s v="30-39"/>
  </r>
  <r>
    <n v="141"/>
    <x v="113"/>
    <s v="CUST141"/>
    <x v="1"/>
    <n v="22"/>
    <x v="2"/>
    <n v="1"/>
    <n v="50"/>
    <n v="50"/>
    <x v="0"/>
    <x v="0"/>
    <s v="Q4"/>
    <d v="2023-11-01T00:00:00"/>
    <s v="20-29"/>
  </r>
  <r>
    <n v="142"/>
    <x v="114"/>
    <s v="CUST142"/>
    <x v="0"/>
    <n v="35"/>
    <x v="2"/>
    <n v="4"/>
    <n v="300"/>
    <n v="1200"/>
    <x v="1"/>
    <x v="0"/>
    <s v="Q1"/>
    <d v="2023-02-01T00:00:00"/>
    <s v="30-39"/>
  </r>
  <r>
    <n v="143"/>
    <x v="115"/>
    <s v="CUST143"/>
    <x v="1"/>
    <n v="45"/>
    <x v="1"/>
    <n v="1"/>
    <n v="50"/>
    <n v="50"/>
    <x v="11"/>
    <x v="0"/>
    <s v="Q3"/>
    <d v="2023-07-01T00:00:00"/>
    <s v="40-49"/>
  </r>
  <r>
    <n v="144"/>
    <x v="116"/>
    <s v="CUST144"/>
    <x v="1"/>
    <n v="59"/>
    <x v="0"/>
    <n v="3"/>
    <n v="500"/>
    <n v="1500"/>
    <x v="11"/>
    <x v="0"/>
    <s v="Q3"/>
    <d v="2023-07-01T00:00:00"/>
    <s v="50+"/>
  </r>
  <r>
    <n v="145"/>
    <x v="113"/>
    <s v="CUST145"/>
    <x v="1"/>
    <n v="39"/>
    <x v="1"/>
    <n v="3"/>
    <n v="25"/>
    <n v="75"/>
    <x v="0"/>
    <x v="0"/>
    <s v="Q4"/>
    <d v="2023-11-01T00:00:00"/>
    <s v="30-39"/>
  </r>
  <r>
    <n v="146"/>
    <x v="117"/>
    <s v="CUST146"/>
    <x v="0"/>
    <n v="38"/>
    <x v="1"/>
    <n v="4"/>
    <n v="50"/>
    <n v="200"/>
    <x v="8"/>
    <x v="0"/>
    <s v="Q3"/>
    <d v="2023-08-01T00:00:00"/>
    <s v="30-39"/>
  </r>
  <r>
    <n v="147"/>
    <x v="118"/>
    <s v="CUST147"/>
    <x v="0"/>
    <n v="23"/>
    <x v="2"/>
    <n v="1"/>
    <n v="300"/>
    <n v="300"/>
    <x v="9"/>
    <x v="0"/>
    <s v="Q3"/>
    <d v="2023-09-01T00:00:00"/>
    <s v="20-29"/>
  </r>
  <r>
    <n v="148"/>
    <x v="119"/>
    <s v="CUST148"/>
    <x v="0"/>
    <n v="18"/>
    <x v="1"/>
    <n v="2"/>
    <n v="30"/>
    <n v="60"/>
    <x v="3"/>
    <x v="0"/>
    <s v="Q2"/>
    <d v="2023-05-01T00:00:00"/>
    <s v="Under 20"/>
  </r>
  <r>
    <n v="149"/>
    <x v="120"/>
    <s v="CUST149"/>
    <x v="0"/>
    <n v="22"/>
    <x v="1"/>
    <n v="3"/>
    <n v="25"/>
    <n v="75"/>
    <x v="7"/>
    <x v="0"/>
    <s v="Q4"/>
    <d v="2023-10-01T00:00:00"/>
    <s v="20-29"/>
  </r>
  <r>
    <n v="150"/>
    <x v="121"/>
    <s v="CUST150"/>
    <x v="1"/>
    <n v="58"/>
    <x v="2"/>
    <n v="4"/>
    <n v="30"/>
    <n v="120"/>
    <x v="2"/>
    <x v="0"/>
    <s v="Q1"/>
    <d v="2023-01-01T00:00:00"/>
    <s v="50+"/>
  </r>
  <r>
    <n v="151"/>
    <x v="112"/>
    <s v="CUST151"/>
    <x v="0"/>
    <n v="29"/>
    <x v="1"/>
    <n v="1"/>
    <n v="50"/>
    <n v="50"/>
    <x v="6"/>
    <x v="0"/>
    <s v="Q4"/>
    <d v="2023-12-01T00:00:00"/>
    <s v="20-29"/>
  </r>
  <r>
    <n v="152"/>
    <x v="122"/>
    <s v="CUST152"/>
    <x v="0"/>
    <n v="43"/>
    <x v="2"/>
    <n v="4"/>
    <n v="500"/>
    <n v="2000"/>
    <x v="1"/>
    <x v="0"/>
    <s v="Q1"/>
    <d v="2023-02-01T00:00:00"/>
    <s v="40-49"/>
  </r>
  <r>
    <n v="153"/>
    <x v="72"/>
    <s v="CUST153"/>
    <x v="0"/>
    <n v="63"/>
    <x v="2"/>
    <n v="2"/>
    <n v="500"/>
    <n v="1000"/>
    <x v="6"/>
    <x v="0"/>
    <s v="Q4"/>
    <d v="2023-12-01T00:00:00"/>
    <s v="50+"/>
  </r>
  <r>
    <n v="154"/>
    <x v="45"/>
    <s v="CUST154"/>
    <x v="0"/>
    <n v="51"/>
    <x v="2"/>
    <n v="3"/>
    <n v="300"/>
    <n v="900"/>
    <x v="7"/>
    <x v="0"/>
    <s v="Q4"/>
    <d v="2023-10-01T00:00:00"/>
    <s v="50+"/>
  </r>
  <r>
    <n v="155"/>
    <x v="71"/>
    <s v="CUST155"/>
    <x v="0"/>
    <n v="31"/>
    <x v="2"/>
    <n v="4"/>
    <n v="500"/>
    <n v="2000"/>
    <x v="3"/>
    <x v="0"/>
    <s v="Q2"/>
    <d v="2023-05-01T00:00:00"/>
    <s v="30-39"/>
  </r>
  <r>
    <n v="156"/>
    <x v="123"/>
    <s v="CUST156"/>
    <x v="1"/>
    <n v="43"/>
    <x v="1"/>
    <n v="4"/>
    <n v="25"/>
    <n v="100"/>
    <x v="0"/>
    <x v="0"/>
    <s v="Q4"/>
    <d v="2023-11-01T00:00:00"/>
    <s v="40-49"/>
  </r>
  <r>
    <n v="157"/>
    <x v="33"/>
    <s v="CUST157"/>
    <x v="0"/>
    <n v="62"/>
    <x v="2"/>
    <n v="4"/>
    <n v="500"/>
    <n v="2000"/>
    <x v="10"/>
    <x v="0"/>
    <s v="Q2"/>
    <d v="2023-06-01T00:00:00"/>
    <s v="50+"/>
  </r>
  <r>
    <n v="158"/>
    <x v="1"/>
    <s v="CUST158"/>
    <x v="1"/>
    <n v="44"/>
    <x v="2"/>
    <n v="2"/>
    <n v="300"/>
    <n v="600"/>
    <x v="1"/>
    <x v="0"/>
    <s v="Q1"/>
    <d v="2023-02-01T00:00:00"/>
    <s v="40-49"/>
  </r>
  <r>
    <n v="159"/>
    <x v="50"/>
    <s v="CUST159"/>
    <x v="0"/>
    <n v="26"/>
    <x v="1"/>
    <n v="4"/>
    <n v="50"/>
    <n v="200"/>
    <x v="3"/>
    <x v="0"/>
    <s v="Q2"/>
    <d v="2023-05-01T00:00:00"/>
    <s v="20-29"/>
  </r>
  <r>
    <n v="160"/>
    <x v="124"/>
    <s v="CUST160"/>
    <x v="1"/>
    <n v="43"/>
    <x v="1"/>
    <n v="2"/>
    <n v="50"/>
    <n v="100"/>
    <x v="8"/>
    <x v="0"/>
    <s v="Q3"/>
    <d v="2023-08-01T00:00:00"/>
    <s v="40-49"/>
  </r>
  <r>
    <n v="161"/>
    <x v="125"/>
    <s v="CUST161"/>
    <x v="0"/>
    <n v="64"/>
    <x v="0"/>
    <n v="2"/>
    <n v="500"/>
    <n v="1000"/>
    <x v="5"/>
    <x v="0"/>
    <s v="Q1"/>
    <d v="2023-03-01T00:00:00"/>
    <s v="50+"/>
  </r>
  <r>
    <n v="162"/>
    <x v="63"/>
    <s v="CUST162"/>
    <x v="0"/>
    <n v="39"/>
    <x v="1"/>
    <n v="2"/>
    <n v="30"/>
    <n v="60"/>
    <x v="8"/>
    <x v="0"/>
    <s v="Q3"/>
    <d v="2023-08-01T00:00:00"/>
    <s v="30-39"/>
  </r>
  <r>
    <n v="163"/>
    <x v="126"/>
    <s v="CUST163"/>
    <x v="1"/>
    <n v="64"/>
    <x v="1"/>
    <n v="3"/>
    <n v="50"/>
    <n v="150"/>
    <x v="2"/>
    <x v="0"/>
    <s v="Q1"/>
    <d v="2023-01-01T00:00:00"/>
    <s v="50+"/>
  </r>
  <r>
    <n v="164"/>
    <x v="100"/>
    <s v="CUST164"/>
    <x v="1"/>
    <n v="47"/>
    <x v="0"/>
    <n v="3"/>
    <n v="500"/>
    <n v="1500"/>
    <x v="3"/>
    <x v="0"/>
    <s v="Q2"/>
    <d v="2023-05-01T00:00:00"/>
    <s v="40-49"/>
  </r>
  <r>
    <n v="165"/>
    <x v="127"/>
    <s v="CUST165"/>
    <x v="1"/>
    <n v="60"/>
    <x v="1"/>
    <n v="4"/>
    <n v="300"/>
    <n v="1200"/>
    <x v="9"/>
    <x v="0"/>
    <s v="Q3"/>
    <d v="2023-09-01T00:00:00"/>
    <s v="50+"/>
  </r>
  <r>
    <n v="166"/>
    <x v="128"/>
    <s v="CUST166"/>
    <x v="0"/>
    <n v="34"/>
    <x v="1"/>
    <n v="4"/>
    <n v="500"/>
    <n v="2000"/>
    <x v="4"/>
    <x v="0"/>
    <s v="Q2"/>
    <d v="2023-04-01T00:00:00"/>
    <s v="30-39"/>
  </r>
  <r>
    <n v="167"/>
    <x v="129"/>
    <s v="CUST167"/>
    <x v="1"/>
    <n v="43"/>
    <x v="1"/>
    <n v="3"/>
    <n v="50"/>
    <n v="150"/>
    <x v="9"/>
    <x v="0"/>
    <s v="Q3"/>
    <d v="2023-09-01T00:00:00"/>
    <s v="40-49"/>
  </r>
  <r>
    <n v="168"/>
    <x v="130"/>
    <s v="CUST168"/>
    <x v="0"/>
    <n v="53"/>
    <x v="1"/>
    <n v="1"/>
    <n v="300"/>
    <n v="300"/>
    <x v="1"/>
    <x v="0"/>
    <s v="Q1"/>
    <d v="2023-02-01T00:00:00"/>
    <s v="50+"/>
  </r>
  <r>
    <n v="169"/>
    <x v="131"/>
    <s v="CUST169"/>
    <x v="0"/>
    <n v="18"/>
    <x v="0"/>
    <n v="3"/>
    <n v="500"/>
    <n v="1500"/>
    <x v="0"/>
    <x v="0"/>
    <s v="Q4"/>
    <d v="2023-11-01T00:00:00"/>
    <s v="Under 20"/>
  </r>
  <r>
    <n v="170"/>
    <x v="132"/>
    <s v="CUST170"/>
    <x v="1"/>
    <n v="25"/>
    <x v="1"/>
    <n v="2"/>
    <n v="25"/>
    <n v="50"/>
    <x v="10"/>
    <x v="0"/>
    <s v="Q2"/>
    <d v="2023-06-01T00:00:00"/>
    <s v="20-29"/>
  </r>
  <r>
    <n v="171"/>
    <x v="0"/>
    <s v="CUST171"/>
    <x v="1"/>
    <n v="52"/>
    <x v="1"/>
    <n v="3"/>
    <n v="300"/>
    <n v="900"/>
    <x v="0"/>
    <x v="0"/>
    <s v="Q4"/>
    <d v="2023-11-01T00:00:00"/>
    <s v="50+"/>
  </r>
  <r>
    <n v="172"/>
    <x v="129"/>
    <s v="CUST172"/>
    <x v="0"/>
    <n v="32"/>
    <x v="0"/>
    <n v="2"/>
    <n v="25"/>
    <n v="50"/>
    <x v="9"/>
    <x v="0"/>
    <s v="Q3"/>
    <d v="2023-09-01T00:00:00"/>
    <s v="30-39"/>
  </r>
  <r>
    <n v="173"/>
    <x v="75"/>
    <s v="CUST173"/>
    <x v="0"/>
    <n v="64"/>
    <x v="2"/>
    <n v="4"/>
    <n v="30"/>
    <n v="120"/>
    <x v="0"/>
    <x v="0"/>
    <s v="Q4"/>
    <d v="2023-11-01T00:00:00"/>
    <s v="50+"/>
  </r>
  <r>
    <n v="174"/>
    <x v="22"/>
    <s v="CUST174"/>
    <x v="1"/>
    <n v="39"/>
    <x v="0"/>
    <n v="1"/>
    <n v="300"/>
    <n v="300"/>
    <x v="4"/>
    <x v="0"/>
    <s v="Q2"/>
    <d v="2023-04-01T00:00:00"/>
    <s v="30-39"/>
  </r>
  <r>
    <n v="175"/>
    <x v="111"/>
    <s v="CUST175"/>
    <x v="1"/>
    <n v="31"/>
    <x v="2"/>
    <n v="4"/>
    <n v="25"/>
    <n v="100"/>
    <x v="5"/>
    <x v="0"/>
    <s v="Q1"/>
    <d v="2023-03-01T00:00:00"/>
    <s v="30-39"/>
  </r>
  <r>
    <n v="176"/>
    <x v="133"/>
    <s v="CUST176"/>
    <x v="1"/>
    <n v="43"/>
    <x v="0"/>
    <n v="2"/>
    <n v="50"/>
    <n v="100"/>
    <x v="11"/>
    <x v="0"/>
    <s v="Q3"/>
    <d v="2023-07-01T00:00:00"/>
    <s v="40-49"/>
  </r>
  <r>
    <n v="177"/>
    <x v="134"/>
    <s v="CUST177"/>
    <x v="0"/>
    <n v="45"/>
    <x v="0"/>
    <n v="2"/>
    <n v="50"/>
    <n v="100"/>
    <x v="5"/>
    <x v="0"/>
    <s v="Q1"/>
    <d v="2023-03-01T00:00:00"/>
    <s v="40-49"/>
  </r>
  <r>
    <n v="178"/>
    <x v="135"/>
    <s v="CUST178"/>
    <x v="0"/>
    <n v="40"/>
    <x v="1"/>
    <n v="2"/>
    <n v="30"/>
    <n v="60"/>
    <x v="7"/>
    <x v="0"/>
    <s v="Q4"/>
    <d v="2023-10-01T00:00:00"/>
    <s v="40-49"/>
  </r>
  <r>
    <n v="179"/>
    <x v="136"/>
    <s v="CUST179"/>
    <x v="0"/>
    <n v="31"/>
    <x v="2"/>
    <n v="1"/>
    <n v="300"/>
    <n v="300"/>
    <x v="9"/>
    <x v="0"/>
    <s v="Q3"/>
    <d v="2023-09-01T00:00:00"/>
    <s v="30-39"/>
  </r>
  <r>
    <n v="180"/>
    <x v="137"/>
    <s v="CUST180"/>
    <x v="0"/>
    <n v="41"/>
    <x v="1"/>
    <n v="3"/>
    <n v="300"/>
    <n v="900"/>
    <x v="2"/>
    <x v="0"/>
    <s v="Q1"/>
    <d v="2023-01-01T00:00:00"/>
    <s v="40-49"/>
  </r>
  <r>
    <n v="181"/>
    <x v="138"/>
    <s v="CUST181"/>
    <x v="0"/>
    <n v="19"/>
    <x v="2"/>
    <n v="4"/>
    <n v="300"/>
    <n v="1200"/>
    <x v="0"/>
    <x v="0"/>
    <s v="Q4"/>
    <d v="2023-11-01T00:00:00"/>
    <s v="Under 20"/>
  </r>
  <r>
    <n v="182"/>
    <x v="139"/>
    <s v="CUST182"/>
    <x v="0"/>
    <n v="62"/>
    <x v="0"/>
    <n v="4"/>
    <n v="30"/>
    <n v="120"/>
    <x v="10"/>
    <x v="0"/>
    <s v="Q2"/>
    <d v="2023-06-01T00:00:00"/>
    <s v="50+"/>
  </r>
  <r>
    <n v="183"/>
    <x v="140"/>
    <s v="CUST183"/>
    <x v="1"/>
    <n v="43"/>
    <x v="0"/>
    <n v="3"/>
    <n v="300"/>
    <n v="900"/>
    <x v="9"/>
    <x v="0"/>
    <s v="Q3"/>
    <d v="2023-09-01T00:00:00"/>
    <s v="40-49"/>
  </r>
  <r>
    <n v="184"/>
    <x v="141"/>
    <s v="CUST184"/>
    <x v="0"/>
    <n v="31"/>
    <x v="2"/>
    <n v="4"/>
    <n v="50"/>
    <n v="200"/>
    <x v="2"/>
    <x v="0"/>
    <s v="Q1"/>
    <d v="2023-01-01T00:00:00"/>
    <s v="30-39"/>
  </r>
  <r>
    <n v="185"/>
    <x v="1"/>
    <s v="CUST185"/>
    <x v="0"/>
    <n v="24"/>
    <x v="1"/>
    <n v="1"/>
    <n v="25"/>
    <n v="25"/>
    <x v="1"/>
    <x v="0"/>
    <s v="Q1"/>
    <d v="2023-02-01T00:00:00"/>
    <s v="20-29"/>
  </r>
  <r>
    <n v="186"/>
    <x v="53"/>
    <s v="CUST186"/>
    <x v="0"/>
    <n v="20"/>
    <x v="1"/>
    <n v="4"/>
    <n v="50"/>
    <n v="200"/>
    <x v="11"/>
    <x v="0"/>
    <s v="Q3"/>
    <d v="2023-07-01T00:00:00"/>
    <s v="20-29"/>
  </r>
  <r>
    <n v="187"/>
    <x v="142"/>
    <s v="CUST187"/>
    <x v="1"/>
    <n v="64"/>
    <x v="1"/>
    <n v="2"/>
    <n v="50"/>
    <n v="100"/>
    <x v="10"/>
    <x v="0"/>
    <s v="Q2"/>
    <d v="2023-06-01T00:00:00"/>
    <s v="50+"/>
  </r>
  <r>
    <n v="188"/>
    <x v="143"/>
    <s v="CUST188"/>
    <x v="0"/>
    <n v="40"/>
    <x v="1"/>
    <n v="3"/>
    <n v="25"/>
    <n v="75"/>
    <x v="3"/>
    <x v="0"/>
    <s v="Q2"/>
    <d v="2023-05-01T00:00:00"/>
    <s v="40-49"/>
  </r>
  <r>
    <n v="189"/>
    <x v="144"/>
    <s v="CUST189"/>
    <x v="0"/>
    <n v="63"/>
    <x v="0"/>
    <n v="1"/>
    <n v="50"/>
    <n v="50"/>
    <x v="2"/>
    <x v="0"/>
    <s v="Q1"/>
    <d v="2023-01-01T00:00:00"/>
    <s v="50+"/>
  </r>
  <r>
    <n v="190"/>
    <x v="145"/>
    <s v="CUST190"/>
    <x v="1"/>
    <n v="60"/>
    <x v="0"/>
    <n v="3"/>
    <n v="30"/>
    <n v="90"/>
    <x v="3"/>
    <x v="0"/>
    <s v="Q2"/>
    <d v="2023-05-01T00:00:00"/>
    <s v="50+"/>
  </r>
  <r>
    <n v="191"/>
    <x v="91"/>
    <s v="CUST191"/>
    <x v="0"/>
    <n v="64"/>
    <x v="0"/>
    <n v="1"/>
    <n v="25"/>
    <n v="25"/>
    <x v="7"/>
    <x v="0"/>
    <s v="Q4"/>
    <d v="2023-10-01T00:00:00"/>
    <s v="50+"/>
  </r>
  <r>
    <n v="192"/>
    <x v="48"/>
    <s v="CUST192"/>
    <x v="0"/>
    <n v="62"/>
    <x v="0"/>
    <n v="2"/>
    <n v="50"/>
    <n v="100"/>
    <x v="1"/>
    <x v="0"/>
    <s v="Q1"/>
    <d v="2023-02-01T00:00:00"/>
    <s v="50+"/>
  </r>
  <r>
    <n v="193"/>
    <x v="146"/>
    <s v="CUST193"/>
    <x v="0"/>
    <n v="35"/>
    <x v="0"/>
    <n v="3"/>
    <n v="500"/>
    <n v="1500"/>
    <x v="1"/>
    <x v="0"/>
    <s v="Q1"/>
    <d v="2023-02-01T00:00:00"/>
    <s v="30-39"/>
  </r>
  <r>
    <n v="194"/>
    <x v="147"/>
    <s v="CUST194"/>
    <x v="0"/>
    <n v="55"/>
    <x v="1"/>
    <n v="4"/>
    <n v="50"/>
    <n v="200"/>
    <x v="9"/>
    <x v="0"/>
    <s v="Q3"/>
    <d v="2023-09-01T00:00:00"/>
    <s v="50+"/>
  </r>
  <r>
    <n v="195"/>
    <x v="57"/>
    <s v="CUST195"/>
    <x v="0"/>
    <n v="52"/>
    <x v="1"/>
    <n v="1"/>
    <n v="30"/>
    <n v="30"/>
    <x v="1"/>
    <x v="0"/>
    <s v="Q1"/>
    <d v="2023-02-01T00:00:00"/>
    <s v="50+"/>
  </r>
  <r>
    <n v="196"/>
    <x v="148"/>
    <s v="CUST196"/>
    <x v="1"/>
    <n v="32"/>
    <x v="1"/>
    <n v="3"/>
    <n v="300"/>
    <n v="900"/>
    <x v="9"/>
    <x v="0"/>
    <s v="Q3"/>
    <d v="2023-09-01T00:00:00"/>
    <s v="30-39"/>
  </r>
  <r>
    <n v="197"/>
    <x v="149"/>
    <s v="CUST197"/>
    <x v="1"/>
    <n v="42"/>
    <x v="1"/>
    <n v="4"/>
    <n v="50"/>
    <n v="200"/>
    <x v="5"/>
    <x v="0"/>
    <s v="Q1"/>
    <d v="2023-03-01T00:00:00"/>
    <s v="40-49"/>
  </r>
  <r>
    <n v="198"/>
    <x v="150"/>
    <s v="CUST198"/>
    <x v="1"/>
    <n v="54"/>
    <x v="0"/>
    <n v="3"/>
    <n v="300"/>
    <n v="900"/>
    <x v="5"/>
    <x v="0"/>
    <s v="Q1"/>
    <d v="2023-03-01T00:00:00"/>
    <s v="50+"/>
  </r>
  <r>
    <n v="199"/>
    <x v="151"/>
    <s v="CUST199"/>
    <x v="0"/>
    <n v="45"/>
    <x v="0"/>
    <n v="3"/>
    <n v="500"/>
    <n v="1500"/>
    <x v="6"/>
    <x v="0"/>
    <s v="Q4"/>
    <d v="2023-12-01T00:00:00"/>
    <s v="40-49"/>
  </r>
  <r>
    <n v="200"/>
    <x v="152"/>
    <s v="CUST200"/>
    <x v="0"/>
    <n v="27"/>
    <x v="0"/>
    <n v="3"/>
    <n v="50"/>
    <n v="150"/>
    <x v="9"/>
    <x v="0"/>
    <s v="Q3"/>
    <d v="2023-09-01T00:00:00"/>
    <s v="20-29"/>
  </r>
  <r>
    <n v="201"/>
    <x v="153"/>
    <s v="CUST201"/>
    <x v="0"/>
    <n v="56"/>
    <x v="2"/>
    <n v="1"/>
    <n v="25"/>
    <n v="25"/>
    <x v="7"/>
    <x v="0"/>
    <s v="Q4"/>
    <d v="2023-10-01T00:00:00"/>
    <s v="50+"/>
  </r>
  <r>
    <n v="202"/>
    <x v="154"/>
    <s v="CUST202"/>
    <x v="1"/>
    <n v="34"/>
    <x v="1"/>
    <n v="4"/>
    <n v="300"/>
    <n v="1200"/>
    <x v="5"/>
    <x v="0"/>
    <s v="Q1"/>
    <d v="2023-03-01T00:00:00"/>
    <s v="30-39"/>
  </r>
  <r>
    <n v="203"/>
    <x v="42"/>
    <s v="CUST203"/>
    <x v="0"/>
    <n v="56"/>
    <x v="1"/>
    <n v="2"/>
    <n v="500"/>
    <n v="1000"/>
    <x v="3"/>
    <x v="0"/>
    <s v="Q2"/>
    <d v="2023-05-01T00:00:00"/>
    <s v="50+"/>
  </r>
  <r>
    <n v="204"/>
    <x v="118"/>
    <s v="CUST204"/>
    <x v="0"/>
    <n v="39"/>
    <x v="0"/>
    <n v="1"/>
    <n v="25"/>
    <n v="25"/>
    <x v="9"/>
    <x v="0"/>
    <s v="Q3"/>
    <d v="2023-09-01T00:00:00"/>
    <s v="30-39"/>
  </r>
  <r>
    <n v="205"/>
    <x v="155"/>
    <s v="CUST205"/>
    <x v="1"/>
    <n v="43"/>
    <x v="1"/>
    <n v="1"/>
    <n v="25"/>
    <n v="25"/>
    <x v="0"/>
    <x v="0"/>
    <s v="Q4"/>
    <d v="2023-11-01T00:00:00"/>
    <s v="40-49"/>
  </r>
  <r>
    <n v="206"/>
    <x v="12"/>
    <s v="CUST206"/>
    <x v="0"/>
    <n v="61"/>
    <x v="1"/>
    <n v="1"/>
    <n v="25"/>
    <n v="25"/>
    <x v="8"/>
    <x v="0"/>
    <s v="Q3"/>
    <d v="2023-08-01T00:00:00"/>
    <s v="50+"/>
  </r>
  <r>
    <n v="207"/>
    <x v="90"/>
    <s v="CUST207"/>
    <x v="1"/>
    <n v="42"/>
    <x v="0"/>
    <n v="2"/>
    <n v="25"/>
    <n v="50"/>
    <x v="4"/>
    <x v="0"/>
    <s v="Q2"/>
    <d v="2023-04-01T00:00:00"/>
    <s v="40-49"/>
  </r>
  <r>
    <n v="208"/>
    <x v="135"/>
    <s v="CUST208"/>
    <x v="1"/>
    <n v="34"/>
    <x v="2"/>
    <n v="4"/>
    <n v="50"/>
    <n v="200"/>
    <x v="7"/>
    <x v="0"/>
    <s v="Q4"/>
    <d v="2023-10-01T00:00:00"/>
    <s v="30-39"/>
  </r>
  <r>
    <n v="209"/>
    <x v="156"/>
    <s v="CUST209"/>
    <x v="1"/>
    <n v="30"/>
    <x v="2"/>
    <n v="4"/>
    <n v="50"/>
    <n v="200"/>
    <x v="6"/>
    <x v="0"/>
    <s v="Q4"/>
    <d v="2023-12-01T00:00:00"/>
    <s v="30-39"/>
  </r>
  <r>
    <n v="210"/>
    <x v="157"/>
    <s v="CUST210"/>
    <x v="0"/>
    <n v="37"/>
    <x v="2"/>
    <n v="4"/>
    <n v="50"/>
    <n v="200"/>
    <x v="4"/>
    <x v="0"/>
    <s v="Q2"/>
    <d v="2023-04-01T00:00:00"/>
    <s v="30-39"/>
  </r>
  <r>
    <n v="211"/>
    <x v="158"/>
    <s v="CUST211"/>
    <x v="0"/>
    <n v="42"/>
    <x v="0"/>
    <n v="3"/>
    <n v="500"/>
    <n v="1500"/>
    <x v="12"/>
    <x v="1"/>
    <s v="Q1"/>
    <d v="2024-01-01T00:00:00"/>
    <s v="40-49"/>
  </r>
  <r>
    <n v="212"/>
    <x v="159"/>
    <s v="CUST212"/>
    <x v="0"/>
    <n v="21"/>
    <x v="1"/>
    <n v="3"/>
    <n v="500"/>
    <n v="1500"/>
    <x v="10"/>
    <x v="0"/>
    <s v="Q2"/>
    <d v="2023-06-01T00:00:00"/>
    <s v="20-29"/>
  </r>
  <r>
    <n v="213"/>
    <x v="104"/>
    <s v="CUST213"/>
    <x v="0"/>
    <n v="27"/>
    <x v="0"/>
    <n v="3"/>
    <n v="500"/>
    <n v="1500"/>
    <x v="11"/>
    <x v="0"/>
    <s v="Q3"/>
    <d v="2023-07-01T00:00:00"/>
    <s v="20-29"/>
  </r>
  <r>
    <n v="214"/>
    <x v="70"/>
    <s v="CUST214"/>
    <x v="0"/>
    <n v="20"/>
    <x v="0"/>
    <n v="2"/>
    <n v="30"/>
    <n v="60"/>
    <x v="6"/>
    <x v="0"/>
    <s v="Q4"/>
    <d v="2023-12-01T00:00:00"/>
    <s v="20-29"/>
  </r>
  <r>
    <n v="215"/>
    <x v="23"/>
    <s v="CUST215"/>
    <x v="0"/>
    <n v="58"/>
    <x v="1"/>
    <n v="3"/>
    <n v="500"/>
    <n v="1500"/>
    <x v="0"/>
    <x v="0"/>
    <s v="Q4"/>
    <d v="2023-11-01T00:00:00"/>
    <s v="50+"/>
  </r>
  <r>
    <n v="216"/>
    <x v="133"/>
    <s v="CUST216"/>
    <x v="0"/>
    <n v="62"/>
    <x v="2"/>
    <n v="2"/>
    <n v="50"/>
    <n v="100"/>
    <x v="11"/>
    <x v="0"/>
    <s v="Q3"/>
    <d v="2023-07-01T00:00:00"/>
    <s v="50+"/>
  </r>
  <r>
    <n v="217"/>
    <x v="160"/>
    <s v="CUST217"/>
    <x v="1"/>
    <n v="35"/>
    <x v="2"/>
    <n v="4"/>
    <n v="50"/>
    <n v="200"/>
    <x v="8"/>
    <x v="0"/>
    <s v="Q3"/>
    <d v="2023-08-01T00:00:00"/>
    <s v="30-39"/>
  </r>
  <r>
    <n v="218"/>
    <x v="161"/>
    <s v="CUST218"/>
    <x v="0"/>
    <n v="64"/>
    <x v="0"/>
    <n v="3"/>
    <n v="30"/>
    <n v="90"/>
    <x v="9"/>
    <x v="0"/>
    <s v="Q3"/>
    <d v="2023-09-01T00:00:00"/>
    <s v="50+"/>
  </r>
  <r>
    <n v="219"/>
    <x v="162"/>
    <s v="CUST219"/>
    <x v="1"/>
    <n v="53"/>
    <x v="2"/>
    <n v="3"/>
    <n v="30"/>
    <n v="90"/>
    <x v="8"/>
    <x v="0"/>
    <s v="Q3"/>
    <d v="2023-08-01T00:00:00"/>
    <s v="50+"/>
  </r>
  <r>
    <n v="220"/>
    <x v="163"/>
    <s v="CUST220"/>
    <x v="0"/>
    <n v="64"/>
    <x v="0"/>
    <n v="1"/>
    <n v="500"/>
    <n v="500"/>
    <x v="5"/>
    <x v="0"/>
    <s v="Q1"/>
    <d v="2023-03-01T00:00:00"/>
    <s v="50+"/>
  </r>
  <r>
    <n v="221"/>
    <x v="98"/>
    <s v="CUST221"/>
    <x v="0"/>
    <n v="39"/>
    <x v="0"/>
    <n v="2"/>
    <n v="300"/>
    <n v="600"/>
    <x v="3"/>
    <x v="0"/>
    <s v="Q2"/>
    <d v="2023-05-01T00:00:00"/>
    <s v="30-39"/>
  </r>
  <r>
    <n v="222"/>
    <x v="164"/>
    <s v="CUST222"/>
    <x v="0"/>
    <n v="51"/>
    <x v="1"/>
    <n v="4"/>
    <n v="30"/>
    <n v="120"/>
    <x v="4"/>
    <x v="0"/>
    <s v="Q2"/>
    <d v="2023-04-01T00:00:00"/>
    <s v="50+"/>
  </r>
  <r>
    <n v="223"/>
    <x v="114"/>
    <s v="CUST223"/>
    <x v="1"/>
    <n v="64"/>
    <x v="1"/>
    <n v="1"/>
    <n v="25"/>
    <n v="25"/>
    <x v="1"/>
    <x v="0"/>
    <s v="Q1"/>
    <d v="2023-02-01T00:00:00"/>
    <s v="50+"/>
  </r>
  <r>
    <n v="224"/>
    <x v="165"/>
    <s v="CUST224"/>
    <x v="1"/>
    <n v="25"/>
    <x v="1"/>
    <n v="1"/>
    <n v="50"/>
    <n v="50"/>
    <x v="10"/>
    <x v="0"/>
    <s v="Q2"/>
    <d v="2023-06-01T00:00:00"/>
    <s v="20-29"/>
  </r>
  <r>
    <n v="225"/>
    <x v="166"/>
    <s v="CUST225"/>
    <x v="1"/>
    <n v="57"/>
    <x v="0"/>
    <n v="4"/>
    <n v="25"/>
    <n v="100"/>
    <x v="2"/>
    <x v="0"/>
    <s v="Q1"/>
    <d v="2023-01-01T00:00:00"/>
    <s v="50+"/>
  </r>
  <r>
    <n v="226"/>
    <x v="28"/>
    <s v="CUST226"/>
    <x v="1"/>
    <n v="61"/>
    <x v="1"/>
    <n v="1"/>
    <n v="50"/>
    <n v="50"/>
    <x v="7"/>
    <x v="0"/>
    <s v="Q4"/>
    <d v="2023-10-01T00:00:00"/>
    <s v="50+"/>
  </r>
  <r>
    <n v="227"/>
    <x v="120"/>
    <s v="CUST227"/>
    <x v="0"/>
    <n v="36"/>
    <x v="2"/>
    <n v="2"/>
    <n v="50"/>
    <n v="100"/>
    <x v="7"/>
    <x v="0"/>
    <s v="Q4"/>
    <d v="2023-10-01T00:00:00"/>
    <s v="30-39"/>
  </r>
  <r>
    <n v="228"/>
    <x v="85"/>
    <s v="CUST228"/>
    <x v="1"/>
    <n v="59"/>
    <x v="2"/>
    <n v="2"/>
    <n v="30"/>
    <n v="60"/>
    <x v="4"/>
    <x v="0"/>
    <s v="Q2"/>
    <d v="2023-04-01T00:00:00"/>
    <s v="50+"/>
  </r>
  <r>
    <n v="229"/>
    <x v="28"/>
    <s v="CUST229"/>
    <x v="0"/>
    <n v="58"/>
    <x v="0"/>
    <n v="3"/>
    <n v="30"/>
    <n v="90"/>
    <x v="7"/>
    <x v="0"/>
    <s v="Q4"/>
    <d v="2023-10-01T00:00:00"/>
    <s v="50+"/>
  </r>
  <r>
    <n v="230"/>
    <x v="26"/>
    <s v="CUST230"/>
    <x v="0"/>
    <n v="54"/>
    <x v="0"/>
    <n v="1"/>
    <n v="25"/>
    <n v="25"/>
    <x v="4"/>
    <x v="0"/>
    <s v="Q2"/>
    <d v="2023-04-01T00:00:00"/>
    <s v="50+"/>
  </r>
  <r>
    <n v="231"/>
    <x v="30"/>
    <s v="CUST231"/>
    <x v="1"/>
    <n v="23"/>
    <x v="1"/>
    <n v="3"/>
    <n v="50"/>
    <n v="150"/>
    <x v="2"/>
    <x v="0"/>
    <s v="Q1"/>
    <d v="2023-01-01T00:00:00"/>
    <s v="20-29"/>
  </r>
  <r>
    <n v="232"/>
    <x v="74"/>
    <s v="CUST232"/>
    <x v="1"/>
    <n v="43"/>
    <x v="0"/>
    <n v="1"/>
    <n v="25"/>
    <n v="25"/>
    <x v="1"/>
    <x v="0"/>
    <s v="Q1"/>
    <d v="2023-02-01T00:00:00"/>
    <s v="40-49"/>
  </r>
  <r>
    <n v="233"/>
    <x v="167"/>
    <s v="CUST233"/>
    <x v="1"/>
    <n v="51"/>
    <x v="0"/>
    <n v="2"/>
    <n v="300"/>
    <n v="600"/>
    <x v="6"/>
    <x v="0"/>
    <s v="Q4"/>
    <d v="2023-12-01T00:00:00"/>
    <s v="50+"/>
  </r>
  <r>
    <n v="234"/>
    <x v="168"/>
    <s v="CUST234"/>
    <x v="1"/>
    <n v="62"/>
    <x v="2"/>
    <n v="2"/>
    <n v="25"/>
    <n v="50"/>
    <x v="0"/>
    <x v="0"/>
    <s v="Q4"/>
    <d v="2023-11-01T00:00:00"/>
    <s v="50+"/>
  </r>
  <r>
    <n v="235"/>
    <x v="169"/>
    <s v="CUST235"/>
    <x v="1"/>
    <n v="23"/>
    <x v="2"/>
    <n v="2"/>
    <n v="500"/>
    <n v="1000"/>
    <x v="2"/>
    <x v="0"/>
    <s v="Q1"/>
    <d v="2023-01-01T00:00:00"/>
    <s v="20-29"/>
  </r>
  <r>
    <n v="236"/>
    <x v="85"/>
    <s v="CUST236"/>
    <x v="1"/>
    <n v="54"/>
    <x v="1"/>
    <n v="1"/>
    <n v="25"/>
    <n v="25"/>
    <x v="4"/>
    <x v="0"/>
    <s v="Q2"/>
    <d v="2023-04-01T00:00:00"/>
    <s v="50+"/>
  </r>
  <r>
    <n v="237"/>
    <x v="170"/>
    <s v="CUST237"/>
    <x v="1"/>
    <n v="50"/>
    <x v="0"/>
    <n v="2"/>
    <n v="500"/>
    <n v="1000"/>
    <x v="1"/>
    <x v="0"/>
    <s v="Q1"/>
    <d v="2023-02-01T00:00:00"/>
    <s v="50+"/>
  </r>
  <r>
    <n v="238"/>
    <x v="13"/>
    <s v="CUST238"/>
    <x v="1"/>
    <n v="39"/>
    <x v="0"/>
    <n v="1"/>
    <n v="500"/>
    <n v="500"/>
    <x v="2"/>
    <x v="0"/>
    <s v="Q1"/>
    <d v="2023-01-01T00:00:00"/>
    <s v="30-39"/>
  </r>
  <r>
    <n v="239"/>
    <x v="171"/>
    <s v="CUST239"/>
    <x v="0"/>
    <n v="38"/>
    <x v="2"/>
    <n v="3"/>
    <n v="500"/>
    <n v="1500"/>
    <x v="10"/>
    <x v="0"/>
    <s v="Q2"/>
    <d v="2023-06-01T00:00:00"/>
    <s v="30-39"/>
  </r>
  <r>
    <n v="240"/>
    <x v="74"/>
    <s v="CUST240"/>
    <x v="1"/>
    <n v="23"/>
    <x v="0"/>
    <n v="1"/>
    <n v="300"/>
    <n v="300"/>
    <x v="1"/>
    <x v="0"/>
    <s v="Q1"/>
    <d v="2023-02-01T00:00:00"/>
    <s v="20-29"/>
  </r>
  <r>
    <n v="241"/>
    <x v="172"/>
    <s v="CUST241"/>
    <x v="1"/>
    <n v="23"/>
    <x v="2"/>
    <n v="3"/>
    <n v="25"/>
    <n v="75"/>
    <x v="9"/>
    <x v="0"/>
    <s v="Q3"/>
    <d v="2023-09-01T00:00:00"/>
    <s v="20-29"/>
  </r>
  <r>
    <n v="242"/>
    <x v="173"/>
    <s v="CUST242"/>
    <x v="0"/>
    <n v="21"/>
    <x v="1"/>
    <n v="1"/>
    <n v="25"/>
    <n v="25"/>
    <x v="3"/>
    <x v="0"/>
    <s v="Q2"/>
    <d v="2023-05-01T00:00:00"/>
    <s v="20-29"/>
  </r>
  <r>
    <n v="243"/>
    <x v="29"/>
    <s v="CUST243"/>
    <x v="1"/>
    <n v="47"/>
    <x v="2"/>
    <n v="3"/>
    <n v="300"/>
    <n v="900"/>
    <x v="3"/>
    <x v="0"/>
    <s v="Q2"/>
    <d v="2023-05-01T00:00:00"/>
    <s v="40-49"/>
  </r>
  <r>
    <n v="244"/>
    <x v="174"/>
    <s v="CUST244"/>
    <x v="0"/>
    <n v="28"/>
    <x v="0"/>
    <n v="2"/>
    <n v="50"/>
    <n v="100"/>
    <x v="6"/>
    <x v="0"/>
    <s v="Q4"/>
    <d v="2023-12-01T00:00:00"/>
    <s v="20-29"/>
  </r>
  <r>
    <n v="245"/>
    <x v="147"/>
    <s v="CUST245"/>
    <x v="0"/>
    <n v="47"/>
    <x v="1"/>
    <n v="3"/>
    <n v="30"/>
    <n v="90"/>
    <x v="9"/>
    <x v="0"/>
    <s v="Q3"/>
    <d v="2023-09-01T00:00:00"/>
    <s v="40-49"/>
  </r>
  <r>
    <n v="246"/>
    <x v="175"/>
    <s v="CUST246"/>
    <x v="1"/>
    <n v="48"/>
    <x v="2"/>
    <n v="2"/>
    <n v="25"/>
    <n v="50"/>
    <x v="4"/>
    <x v="0"/>
    <s v="Q2"/>
    <d v="2023-04-01T00:00:00"/>
    <s v="40-49"/>
  </r>
  <r>
    <n v="247"/>
    <x v="135"/>
    <s v="CUST247"/>
    <x v="0"/>
    <n v="41"/>
    <x v="2"/>
    <n v="2"/>
    <n v="30"/>
    <n v="60"/>
    <x v="7"/>
    <x v="0"/>
    <s v="Q4"/>
    <d v="2023-10-01T00:00:00"/>
    <s v="40-49"/>
  </r>
  <r>
    <n v="248"/>
    <x v="176"/>
    <s v="CUST248"/>
    <x v="0"/>
    <n v="26"/>
    <x v="1"/>
    <n v="3"/>
    <n v="300"/>
    <n v="900"/>
    <x v="5"/>
    <x v="0"/>
    <s v="Q1"/>
    <d v="2023-03-01T00:00:00"/>
    <s v="20-29"/>
  </r>
  <r>
    <n v="249"/>
    <x v="177"/>
    <s v="CUST249"/>
    <x v="0"/>
    <n v="20"/>
    <x v="1"/>
    <n v="1"/>
    <n v="50"/>
    <n v="50"/>
    <x v="7"/>
    <x v="0"/>
    <s v="Q4"/>
    <d v="2023-10-01T00:00:00"/>
    <s v="20-29"/>
  </r>
  <r>
    <n v="250"/>
    <x v="54"/>
    <s v="CUST250"/>
    <x v="0"/>
    <n v="48"/>
    <x v="2"/>
    <n v="1"/>
    <n v="50"/>
    <n v="50"/>
    <x v="7"/>
    <x v="0"/>
    <s v="Q4"/>
    <d v="2023-10-01T00:00:00"/>
    <s v="40-49"/>
  </r>
  <r>
    <n v="251"/>
    <x v="178"/>
    <s v="CUST251"/>
    <x v="1"/>
    <n v="57"/>
    <x v="0"/>
    <n v="4"/>
    <n v="50"/>
    <n v="200"/>
    <x v="8"/>
    <x v="0"/>
    <s v="Q3"/>
    <d v="2023-08-01T00:00:00"/>
    <s v="50+"/>
  </r>
  <r>
    <n v="252"/>
    <x v="179"/>
    <s v="CUST252"/>
    <x v="0"/>
    <n v="54"/>
    <x v="2"/>
    <n v="1"/>
    <n v="300"/>
    <n v="300"/>
    <x v="3"/>
    <x v="0"/>
    <s v="Q2"/>
    <d v="2023-05-01T00:00:00"/>
    <s v="50+"/>
  </r>
  <r>
    <n v="253"/>
    <x v="178"/>
    <s v="CUST253"/>
    <x v="1"/>
    <n v="53"/>
    <x v="1"/>
    <n v="4"/>
    <n v="500"/>
    <n v="2000"/>
    <x v="8"/>
    <x v="0"/>
    <s v="Q3"/>
    <d v="2023-08-01T00:00:00"/>
    <s v="50+"/>
  </r>
  <r>
    <n v="254"/>
    <x v="180"/>
    <s v="CUST254"/>
    <x v="0"/>
    <n v="41"/>
    <x v="2"/>
    <n v="1"/>
    <n v="500"/>
    <n v="500"/>
    <x v="11"/>
    <x v="0"/>
    <s v="Q3"/>
    <d v="2023-07-01T00:00:00"/>
    <s v="40-49"/>
  </r>
  <r>
    <n v="255"/>
    <x v="181"/>
    <s v="CUST255"/>
    <x v="0"/>
    <n v="48"/>
    <x v="1"/>
    <n v="1"/>
    <n v="30"/>
    <n v="30"/>
    <x v="4"/>
    <x v="0"/>
    <s v="Q2"/>
    <d v="2023-04-01T00:00:00"/>
    <s v="40-49"/>
  </r>
  <r>
    <n v="256"/>
    <x v="182"/>
    <s v="CUST256"/>
    <x v="0"/>
    <n v="23"/>
    <x v="1"/>
    <n v="2"/>
    <n v="500"/>
    <n v="1000"/>
    <x v="1"/>
    <x v="0"/>
    <s v="Q1"/>
    <d v="2023-02-01T00:00:00"/>
    <s v="20-29"/>
  </r>
  <r>
    <n v="257"/>
    <x v="38"/>
    <s v="CUST257"/>
    <x v="0"/>
    <n v="19"/>
    <x v="0"/>
    <n v="4"/>
    <n v="500"/>
    <n v="2000"/>
    <x v="1"/>
    <x v="0"/>
    <s v="Q1"/>
    <d v="2023-02-01T00:00:00"/>
    <s v="Under 20"/>
  </r>
  <r>
    <n v="258"/>
    <x v="151"/>
    <s v="CUST258"/>
    <x v="1"/>
    <n v="37"/>
    <x v="1"/>
    <n v="1"/>
    <n v="50"/>
    <n v="50"/>
    <x v="6"/>
    <x v="0"/>
    <s v="Q4"/>
    <d v="2023-12-01T00:00:00"/>
    <s v="30-39"/>
  </r>
  <r>
    <n v="259"/>
    <x v="183"/>
    <s v="CUST259"/>
    <x v="1"/>
    <n v="45"/>
    <x v="1"/>
    <n v="4"/>
    <n v="50"/>
    <n v="200"/>
    <x v="8"/>
    <x v="0"/>
    <s v="Q3"/>
    <d v="2023-08-01T00:00:00"/>
    <s v="40-49"/>
  </r>
  <r>
    <n v="260"/>
    <x v="68"/>
    <s v="CUST260"/>
    <x v="0"/>
    <n v="28"/>
    <x v="0"/>
    <n v="2"/>
    <n v="30"/>
    <n v="60"/>
    <x v="11"/>
    <x v="0"/>
    <s v="Q3"/>
    <d v="2023-07-01T00:00:00"/>
    <s v="20-29"/>
  </r>
  <r>
    <n v="261"/>
    <x v="12"/>
    <s v="CUST261"/>
    <x v="0"/>
    <n v="21"/>
    <x v="1"/>
    <n v="2"/>
    <n v="25"/>
    <n v="50"/>
    <x v="8"/>
    <x v="0"/>
    <s v="Q3"/>
    <d v="2023-08-01T00:00:00"/>
    <s v="20-29"/>
  </r>
  <r>
    <n v="262"/>
    <x v="184"/>
    <s v="CUST262"/>
    <x v="1"/>
    <n v="32"/>
    <x v="0"/>
    <n v="4"/>
    <n v="30"/>
    <n v="120"/>
    <x v="11"/>
    <x v="0"/>
    <s v="Q3"/>
    <d v="2023-07-01T00:00:00"/>
    <s v="30-39"/>
  </r>
  <r>
    <n v="263"/>
    <x v="117"/>
    <s v="CUST263"/>
    <x v="0"/>
    <n v="23"/>
    <x v="0"/>
    <n v="2"/>
    <n v="30"/>
    <n v="60"/>
    <x v="8"/>
    <x v="0"/>
    <s v="Q3"/>
    <d v="2023-08-01T00:00:00"/>
    <s v="20-29"/>
  </r>
  <r>
    <n v="264"/>
    <x v="185"/>
    <s v="CUST264"/>
    <x v="0"/>
    <n v="47"/>
    <x v="1"/>
    <n v="3"/>
    <n v="300"/>
    <n v="900"/>
    <x v="2"/>
    <x v="0"/>
    <s v="Q1"/>
    <d v="2023-01-01T00:00:00"/>
    <s v="40-49"/>
  </r>
  <r>
    <n v="265"/>
    <x v="186"/>
    <s v="CUST265"/>
    <x v="0"/>
    <n v="55"/>
    <x v="1"/>
    <n v="3"/>
    <n v="300"/>
    <n v="900"/>
    <x v="6"/>
    <x v="0"/>
    <s v="Q4"/>
    <d v="2023-12-01T00:00:00"/>
    <s v="50+"/>
  </r>
  <r>
    <n v="266"/>
    <x v="187"/>
    <s v="CUST266"/>
    <x v="1"/>
    <n v="19"/>
    <x v="2"/>
    <n v="2"/>
    <n v="30"/>
    <n v="60"/>
    <x v="6"/>
    <x v="0"/>
    <s v="Q4"/>
    <d v="2023-12-01T00:00:00"/>
    <s v="Under 20"/>
  </r>
  <r>
    <n v="267"/>
    <x v="188"/>
    <s v="CUST267"/>
    <x v="1"/>
    <n v="32"/>
    <x v="0"/>
    <n v="3"/>
    <n v="30"/>
    <n v="90"/>
    <x v="0"/>
    <x v="0"/>
    <s v="Q4"/>
    <d v="2023-11-01T00:00:00"/>
    <s v="30-39"/>
  </r>
  <r>
    <n v="268"/>
    <x v="189"/>
    <s v="CUST268"/>
    <x v="1"/>
    <n v="28"/>
    <x v="2"/>
    <n v="1"/>
    <n v="30"/>
    <n v="30"/>
    <x v="1"/>
    <x v="0"/>
    <s v="Q1"/>
    <d v="2023-02-01T00:00:00"/>
    <s v="20-29"/>
  </r>
  <r>
    <n v="269"/>
    <x v="190"/>
    <s v="CUST269"/>
    <x v="0"/>
    <n v="25"/>
    <x v="1"/>
    <n v="4"/>
    <n v="500"/>
    <n v="2000"/>
    <x v="1"/>
    <x v="0"/>
    <s v="Q1"/>
    <d v="2023-02-01T00:00:00"/>
    <s v="20-29"/>
  </r>
  <r>
    <n v="270"/>
    <x v="191"/>
    <s v="CUST270"/>
    <x v="0"/>
    <n v="43"/>
    <x v="2"/>
    <n v="1"/>
    <n v="300"/>
    <n v="300"/>
    <x v="11"/>
    <x v="0"/>
    <s v="Q3"/>
    <d v="2023-07-01T00:00:00"/>
    <s v="40-49"/>
  </r>
  <r>
    <n v="271"/>
    <x v="165"/>
    <s v="CUST271"/>
    <x v="1"/>
    <n v="62"/>
    <x v="0"/>
    <n v="4"/>
    <n v="30"/>
    <n v="120"/>
    <x v="10"/>
    <x v="0"/>
    <s v="Q2"/>
    <d v="2023-06-01T00:00:00"/>
    <s v="50+"/>
  </r>
  <r>
    <n v="272"/>
    <x v="192"/>
    <s v="CUST272"/>
    <x v="1"/>
    <n v="61"/>
    <x v="2"/>
    <n v="2"/>
    <n v="50"/>
    <n v="100"/>
    <x v="1"/>
    <x v="0"/>
    <s v="Q1"/>
    <d v="2023-02-01T00:00:00"/>
    <s v="50+"/>
  </r>
  <r>
    <n v="273"/>
    <x v="193"/>
    <s v="CUST273"/>
    <x v="1"/>
    <n v="22"/>
    <x v="0"/>
    <n v="1"/>
    <n v="50"/>
    <n v="50"/>
    <x v="3"/>
    <x v="0"/>
    <s v="Q2"/>
    <d v="2023-05-01T00:00:00"/>
    <s v="20-29"/>
  </r>
  <r>
    <n v="274"/>
    <x v="55"/>
    <s v="CUST274"/>
    <x v="1"/>
    <n v="23"/>
    <x v="1"/>
    <n v="2"/>
    <n v="500"/>
    <n v="1000"/>
    <x v="4"/>
    <x v="0"/>
    <s v="Q2"/>
    <d v="2023-04-01T00:00:00"/>
    <s v="20-29"/>
  </r>
  <r>
    <n v="275"/>
    <x v="181"/>
    <s v="CUST275"/>
    <x v="0"/>
    <n v="43"/>
    <x v="1"/>
    <n v="2"/>
    <n v="500"/>
    <n v="1000"/>
    <x v="4"/>
    <x v="0"/>
    <s v="Q2"/>
    <d v="2023-04-01T00:00:00"/>
    <s v="40-49"/>
  </r>
  <r>
    <n v="276"/>
    <x v="45"/>
    <s v="CUST276"/>
    <x v="1"/>
    <n v="21"/>
    <x v="0"/>
    <n v="4"/>
    <n v="25"/>
    <n v="100"/>
    <x v="7"/>
    <x v="0"/>
    <s v="Q4"/>
    <d v="2023-10-01T00:00:00"/>
    <s v="20-29"/>
  </r>
  <r>
    <n v="277"/>
    <x v="27"/>
    <s v="CUST277"/>
    <x v="0"/>
    <n v="36"/>
    <x v="1"/>
    <n v="4"/>
    <n v="25"/>
    <n v="100"/>
    <x v="8"/>
    <x v="0"/>
    <s v="Q3"/>
    <d v="2023-08-01T00:00:00"/>
    <s v="30-39"/>
  </r>
  <r>
    <n v="278"/>
    <x v="6"/>
    <s v="CUST278"/>
    <x v="1"/>
    <n v="37"/>
    <x v="1"/>
    <n v="4"/>
    <n v="25"/>
    <n v="100"/>
    <x v="5"/>
    <x v="0"/>
    <s v="Q1"/>
    <d v="2023-03-01T00:00:00"/>
    <s v="30-39"/>
  </r>
  <r>
    <n v="279"/>
    <x v="12"/>
    <s v="CUST279"/>
    <x v="0"/>
    <n v="50"/>
    <x v="1"/>
    <n v="1"/>
    <n v="500"/>
    <n v="500"/>
    <x v="8"/>
    <x v="0"/>
    <s v="Q3"/>
    <d v="2023-08-01T00:00:00"/>
    <s v="50+"/>
  </r>
  <r>
    <n v="280"/>
    <x v="194"/>
    <s v="CUST280"/>
    <x v="1"/>
    <n v="37"/>
    <x v="1"/>
    <n v="3"/>
    <n v="500"/>
    <n v="1500"/>
    <x v="4"/>
    <x v="0"/>
    <s v="Q2"/>
    <d v="2023-04-01T00:00:00"/>
    <s v="30-39"/>
  </r>
  <r>
    <n v="281"/>
    <x v="29"/>
    <s v="CUST281"/>
    <x v="1"/>
    <n v="29"/>
    <x v="0"/>
    <n v="4"/>
    <n v="500"/>
    <n v="2000"/>
    <x v="3"/>
    <x v="0"/>
    <s v="Q2"/>
    <d v="2023-05-01T00:00:00"/>
    <s v="20-29"/>
  </r>
  <r>
    <n v="282"/>
    <x v="78"/>
    <s v="CUST282"/>
    <x v="1"/>
    <n v="64"/>
    <x v="2"/>
    <n v="4"/>
    <n v="50"/>
    <n v="200"/>
    <x v="8"/>
    <x v="0"/>
    <s v="Q3"/>
    <d v="2023-08-01T00:00:00"/>
    <s v="50+"/>
  </r>
  <r>
    <n v="283"/>
    <x v="193"/>
    <s v="CUST283"/>
    <x v="1"/>
    <n v="18"/>
    <x v="2"/>
    <n v="1"/>
    <n v="500"/>
    <n v="500"/>
    <x v="3"/>
    <x v="0"/>
    <s v="Q2"/>
    <d v="2023-05-01T00:00:00"/>
    <s v="Under 20"/>
  </r>
  <r>
    <n v="284"/>
    <x v="195"/>
    <s v="CUST284"/>
    <x v="0"/>
    <n v="43"/>
    <x v="1"/>
    <n v="4"/>
    <n v="50"/>
    <n v="200"/>
    <x v="1"/>
    <x v="0"/>
    <s v="Q1"/>
    <d v="2023-02-01T00:00:00"/>
    <s v="40-49"/>
  </r>
  <r>
    <n v="285"/>
    <x v="196"/>
    <s v="CUST285"/>
    <x v="1"/>
    <n v="31"/>
    <x v="2"/>
    <n v="1"/>
    <n v="25"/>
    <n v="25"/>
    <x v="8"/>
    <x v="0"/>
    <s v="Q3"/>
    <d v="2023-08-01T00:00:00"/>
    <s v="30-39"/>
  </r>
  <r>
    <n v="286"/>
    <x v="153"/>
    <s v="CUST286"/>
    <x v="0"/>
    <n v="55"/>
    <x v="2"/>
    <n v="2"/>
    <n v="25"/>
    <n v="50"/>
    <x v="7"/>
    <x v="0"/>
    <s v="Q4"/>
    <d v="2023-10-01T00:00:00"/>
    <s v="50+"/>
  </r>
  <r>
    <n v="287"/>
    <x v="189"/>
    <s v="CUST287"/>
    <x v="0"/>
    <n v="54"/>
    <x v="1"/>
    <n v="4"/>
    <n v="25"/>
    <n v="100"/>
    <x v="1"/>
    <x v="0"/>
    <s v="Q1"/>
    <d v="2023-02-01T00:00:00"/>
    <s v="50+"/>
  </r>
  <r>
    <n v="288"/>
    <x v="197"/>
    <s v="CUST288"/>
    <x v="0"/>
    <n v="28"/>
    <x v="1"/>
    <n v="4"/>
    <n v="30"/>
    <n v="120"/>
    <x v="2"/>
    <x v="0"/>
    <s v="Q1"/>
    <d v="2023-01-01T00:00:00"/>
    <s v="20-29"/>
  </r>
  <r>
    <n v="289"/>
    <x v="198"/>
    <s v="CUST289"/>
    <x v="0"/>
    <n v="53"/>
    <x v="2"/>
    <n v="2"/>
    <n v="30"/>
    <n v="60"/>
    <x v="0"/>
    <x v="0"/>
    <s v="Q4"/>
    <d v="2023-11-01T00:00:00"/>
    <s v="50+"/>
  </r>
  <r>
    <n v="290"/>
    <x v="135"/>
    <s v="CUST290"/>
    <x v="1"/>
    <n v="30"/>
    <x v="0"/>
    <n v="2"/>
    <n v="300"/>
    <n v="600"/>
    <x v="7"/>
    <x v="0"/>
    <s v="Q4"/>
    <d v="2023-10-01T00:00:00"/>
    <s v="30-39"/>
  </r>
  <r>
    <n v="291"/>
    <x v="199"/>
    <s v="CUST291"/>
    <x v="0"/>
    <n v="60"/>
    <x v="1"/>
    <n v="2"/>
    <n v="300"/>
    <n v="600"/>
    <x v="2"/>
    <x v="0"/>
    <s v="Q1"/>
    <d v="2023-01-01T00:00:00"/>
    <s v="50+"/>
  </r>
  <r>
    <n v="292"/>
    <x v="15"/>
    <s v="CUST292"/>
    <x v="0"/>
    <n v="20"/>
    <x v="0"/>
    <n v="4"/>
    <n v="300"/>
    <n v="1200"/>
    <x v="1"/>
    <x v="0"/>
    <s v="Q1"/>
    <d v="2023-02-01T00:00:00"/>
    <s v="20-29"/>
  </r>
  <r>
    <n v="293"/>
    <x v="173"/>
    <s v="CUST293"/>
    <x v="0"/>
    <n v="50"/>
    <x v="2"/>
    <n v="3"/>
    <n v="30"/>
    <n v="90"/>
    <x v="3"/>
    <x v="0"/>
    <s v="Q2"/>
    <d v="2023-05-01T00:00:00"/>
    <s v="50+"/>
  </r>
  <r>
    <n v="294"/>
    <x v="200"/>
    <s v="CUST294"/>
    <x v="1"/>
    <n v="23"/>
    <x v="1"/>
    <n v="3"/>
    <n v="30"/>
    <n v="90"/>
    <x v="5"/>
    <x v="0"/>
    <s v="Q1"/>
    <d v="2023-03-01T00:00:00"/>
    <s v="20-29"/>
  </r>
  <r>
    <n v="295"/>
    <x v="180"/>
    <s v="CUST295"/>
    <x v="1"/>
    <n v="27"/>
    <x v="0"/>
    <n v="3"/>
    <n v="300"/>
    <n v="900"/>
    <x v="11"/>
    <x v="0"/>
    <s v="Q3"/>
    <d v="2023-07-01T00:00:00"/>
    <s v="20-29"/>
  </r>
  <r>
    <n v="296"/>
    <x v="147"/>
    <s v="CUST296"/>
    <x v="1"/>
    <n v="22"/>
    <x v="1"/>
    <n v="4"/>
    <n v="300"/>
    <n v="1200"/>
    <x v="9"/>
    <x v="0"/>
    <s v="Q3"/>
    <d v="2023-09-01T00:00:00"/>
    <s v="20-29"/>
  </r>
  <r>
    <n v="297"/>
    <x v="201"/>
    <s v="CUST297"/>
    <x v="1"/>
    <n v="40"/>
    <x v="2"/>
    <n v="2"/>
    <n v="500"/>
    <n v="1000"/>
    <x v="9"/>
    <x v="0"/>
    <s v="Q3"/>
    <d v="2023-09-01T00:00:00"/>
    <s v="40-49"/>
  </r>
  <r>
    <n v="298"/>
    <x v="175"/>
    <s v="CUST298"/>
    <x v="0"/>
    <n v="27"/>
    <x v="0"/>
    <n v="4"/>
    <n v="300"/>
    <n v="1200"/>
    <x v="4"/>
    <x v="0"/>
    <s v="Q2"/>
    <d v="2023-04-01T00:00:00"/>
    <s v="20-29"/>
  </r>
  <r>
    <n v="299"/>
    <x v="87"/>
    <s v="CUST299"/>
    <x v="0"/>
    <n v="61"/>
    <x v="2"/>
    <n v="2"/>
    <n v="500"/>
    <n v="1000"/>
    <x v="11"/>
    <x v="0"/>
    <s v="Q3"/>
    <d v="2023-07-01T00:00:00"/>
    <s v="50+"/>
  </r>
  <r>
    <n v="300"/>
    <x v="169"/>
    <s v="CUST300"/>
    <x v="1"/>
    <n v="19"/>
    <x v="2"/>
    <n v="4"/>
    <n v="50"/>
    <n v="200"/>
    <x v="2"/>
    <x v="0"/>
    <s v="Q1"/>
    <d v="2023-01-01T00:00:00"/>
    <s v="Under 20"/>
  </r>
  <r>
    <n v="301"/>
    <x v="154"/>
    <s v="CUST301"/>
    <x v="0"/>
    <n v="30"/>
    <x v="1"/>
    <n v="4"/>
    <n v="30"/>
    <n v="120"/>
    <x v="5"/>
    <x v="0"/>
    <s v="Q1"/>
    <d v="2023-03-01T00:00:00"/>
    <s v="30-39"/>
  </r>
  <r>
    <n v="302"/>
    <x v="37"/>
    <s v="CUST302"/>
    <x v="0"/>
    <n v="57"/>
    <x v="0"/>
    <n v="2"/>
    <n v="300"/>
    <n v="600"/>
    <x v="11"/>
    <x v="0"/>
    <s v="Q3"/>
    <d v="2023-07-01T00:00:00"/>
    <s v="50+"/>
  </r>
  <r>
    <n v="303"/>
    <x v="126"/>
    <s v="CUST303"/>
    <x v="0"/>
    <n v="19"/>
    <x v="2"/>
    <n v="3"/>
    <n v="30"/>
    <n v="90"/>
    <x v="2"/>
    <x v="0"/>
    <s v="Q1"/>
    <d v="2023-01-01T00:00:00"/>
    <s v="Under 20"/>
  </r>
  <r>
    <n v="304"/>
    <x v="202"/>
    <s v="CUST304"/>
    <x v="1"/>
    <n v="37"/>
    <x v="2"/>
    <n v="2"/>
    <n v="30"/>
    <n v="60"/>
    <x v="11"/>
    <x v="0"/>
    <s v="Q3"/>
    <d v="2023-07-01T00:00:00"/>
    <s v="30-39"/>
  </r>
  <r>
    <n v="305"/>
    <x v="42"/>
    <s v="CUST305"/>
    <x v="1"/>
    <n v="18"/>
    <x v="0"/>
    <n v="1"/>
    <n v="30"/>
    <n v="30"/>
    <x v="3"/>
    <x v="0"/>
    <s v="Q2"/>
    <d v="2023-05-01T00:00:00"/>
    <s v="Under 20"/>
  </r>
  <r>
    <n v="306"/>
    <x v="63"/>
    <s v="CUST306"/>
    <x v="0"/>
    <n v="54"/>
    <x v="2"/>
    <n v="1"/>
    <n v="50"/>
    <n v="50"/>
    <x v="8"/>
    <x v="0"/>
    <s v="Q3"/>
    <d v="2023-08-01T00:00:00"/>
    <s v="50+"/>
  </r>
  <r>
    <n v="307"/>
    <x v="203"/>
    <s v="CUST307"/>
    <x v="1"/>
    <n v="26"/>
    <x v="2"/>
    <n v="2"/>
    <n v="25"/>
    <n v="50"/>
    <x v="3"/>
    <x v="0"/>
    <s v="Q2"/>
    <d v="2023-05-01T00:00:00"/>
    <s v="20-29"/>
  </r>
  <r>
    <n v="308"/>
    <x v="12"/>
    <s v="CUST308"/>
    <x v="1"/>
    <n v="34"/>
    <x v="0"/>
    <n v="4"/>
    <n v="300"/>
    <n v="1200"/>
    <x v="8"/>
    <x v="0"/>
    <s v="Q3"/>
    <d v="2023-08-01T00:00:00"/>
    <s v="30-39"/>
  </r>
  <r>
    <n v="309"/>
    <x v="204"/>
    <s v="CUST309"/>
    <x v="1"/>
    <n v="26"/>
    <x v="0"/>
    <n v="1"/>
    <n v="25"/>
    <n v="25"/>
    <x v="6"/>
    <x v="0"/>
    <s v="Q4"/>
    <d v="2023-12-01T00:00:00"/>
    <s v="20-29"/>
  </r>
  <r>
    <n v="310"/>
    <x v="205"/>
    <s v="CUST310"/>
    <x v="1"/>
    <n v="28"/>
    <x v="0"/>
    <n v="1"/>
    <n v="25"/>
    <n v="25"/>
    <x v="7"/>
    <x v="0"/>
    <s v="Q4"/>
    <d v="2023-10-01T00:00:00"/>
    <s v="20-29"/>
  </r>
  <r>
    <n v="311"/>
    <x v="59"/>
    <s v="CUST311"/>
    <x v="1"/>
    <n v="32"/>
    <x v="0"/>
    <n v="4"/>
    <n v="25"/>
    <n v="100"/>
    <x v="6"/>
    <x v="0"/>
    <s v="Q4"/>
    <d v="2023-12-01T00:00:00"/>
    <s v="30-39"/>
  </r>
  <r>
    <n v="312"/>
    <x v="206"/>
    <s v="CUST312"/>
    <x v="0"/>
    <n v="41"/>
    <x v="1"/>
    <n v="4"/>
    <n v="30"/>
    <n v="120"/>
    <x v="9"/>
    <x v="0"/>
    <s v="Q3"/>
    <d v="2023-09-01T00:00:00"/>
    <s v="40-49"/>
  </r>
  <r>
    <n v="313"/>
    <x v="34"/>
    <s v="CUST313"/>
    <x v="1"/>
    <n v="55"/>
    <x v="0"/>
    <n v="3"/>
    <n v="500"/>
    <n v="1500"/>
    <x v="5"/>
    <x v="0"/>
    <s v="Q1"/>
    <d v="2023-03-01T00:00:00"/>
    <s v="50+"/>
  </r>
  <r>
    <n v="314"/>
    <x v="181"/>
    <s v="CUST314"/>
    <x v="0"/>
    <n v="52"/>
    <x v="1"/>
    <n v="4"/>
    <n v="30"/>
    <n v="120"/>
    <x v="4"/>
    <x v="0"/>
    <s v="Q2"/>
    <d v="2023-04-01T00:00:00"/>
    <s v="50+"/>
  </r>
  <r>
    <n v="315"/>
    <x v="207"/>
    <s v="CUST315"/>
    <x v="0"/>
    <n v="47"/>
    <x v="1"/>
    <n v="2"/>
    <n v="30"/>
    <n v="60"/>
    <x v="10"/>
    <x v="0"/>
    <s v="Q2"/>
    <d v="2023-06-01T00:00:00"/>
    <s v="40-49"/>
  </r>
  <r>
    <n v="316"/>
    <x v="16"/>
    <s v="CUST316"/>
    <x v="1"/>
    <n v="48"/>
    <x v="1"/>
    <n v="2"/>
    <n v="25"/>
    <n v="50"/>
    <x v="4"/>
    <x v="0"/>
    <s v="Q2"/>
    <d v="2023-04-01T00:00:00"/>
    <s v="40-49"/>
  </r>
  <r>
    <n v="317"/>
    <x v="144"/>
    <s v="CUST317"/>
    <x v="0"/>
    <n v="22"/>
    <x v="2"/>
    <n v="3"/>
    <n v="30"/>
    <n v="90"/>
    <x v="2"/>
    <x v="0"/>
    <s v="Q1"/>
    <d v="2023-01-01T00:00:00"/>
    <s v="20-29"/>
  </r>
  <r>
    <n v="318"/>
    <x v="208"/>
    <s v="CUST318"/>
    <x v="0"/>
    <n v="61"/>
    <x v="1"/>
    <n v="1"/>
    <n v="25"/>
    <n v="25"/>
    <x v="7"/>
    <x v="0"/>
    <s v="Q4"/>
    <d v="2023-10-01T00:00:00"/>
    <s v="50+"/>
  </r>
  <r>
    <n v="319"/>
    <x v="209"/>
    <s v="CUST319"/>
    <x v="0"/>
    <n v="31"/>
    <x v="1"/>
    <n v="1"/>
    <n v="500"/>
    <n v="500"/>
    <x v="7"/>
    <x v="0"/>
    <s v="Q4"/>
    <d v="2023-10-01T00:00:00"/>
    <s v="30-39"/>
  </r>
  <r>
    <n v="320"/>
    <x v="190"/>
    <s v="CUST320"/>
    <x v="1"/>
    <n v="28"/>
    <x v="2"/>
    <n v="4"/>
    <n v="300"/>
    <n v="1200"/>
    <x v="1"/>
    <x v="0"/>
    <s v="Q1"/>
    <d v="2023-02-01T00:00:00"/>
    <s v="20-29"/>
  </r>
  <r>
    <n v="321"/>
    <x v="210"/>
    <s v="CUST321"/>
    <x v="1"/>
    <n v="26"/>
    <x v="2"/>
    <n v="2"/>
    <n v="25"/>
    <n v="50"/>
    <x v="10"/>
    <x v="0"/>
    <s v="Q2"/>
    <d v="2023-06-01T00:00:00"/>
    <s v="20-29"/>
  </r>
  <r>
    <n v="322"/>
    <x v="144"/>
    <s v="CUST322"/>
    <x v="0"/>
    <n v="51"/>
    <x v="2"/>
    <n v="1"/>
    <n v="500"/>
    <n v="500"/>
    <x v="2"/>
    <x v="0"/>
    <s v="Q1"/>
    <d v="2023-01-01T00:00:00"/>
    <s v="50+"/>
  </r>
  <r>
    <n v="323"/>
    <x v="197"/>
    <s v="CUST323"/>
    <x v="1"/>
    <n v="29"/>
    <x v="0"/>
    <n v="3"/>
    <n v="300"/>
    <n v="900"/>
    <x v="2"/>
    <x v="0"/>
    <s v="Q1"/>
    <d v="2023-01-01T00:00:00"/>
    <s v="20-29"/>
  </r>
  <r>
    <n v="324"/>
    <x v="101"/>
    <s v="CUST324"/>
    <x v="1"/>
    <n v="52"/>
    <x v="2"/>
    <n v="3"/>
    <n v="50"/>
    <n v="150"/>
    <x v="7"/>
    <x v="0"/>
    <s v="Q4"/>
    <d v="2023-10-01T00:00:00"/>
    <s v="50+"/>
  </r>
  <r>
    <n v="325"/>
    <x v="211"/>
    <s v="CUST325"/>
    <x v="1"/>
    <n v="52"/>
    <x v="2"/>
    <n v="2"/>
    <n v="25"/>
    <n v="50"/>
    <x v="9"/>
    <x v="0"/>
    <s v="Q3"/>
    <d v="2023-09-01T00:00:00"/>
    <s v="50+"/>
  </r>
  <r>
    <n v="326"/>
    <x v="212"/>
    <s v="CUST326"/>
    <x v="1"/>
    <n v="18"/>
    <x v="1"/>
    <n v="3"/>
    <n v="25"/>
    <n v="75"/>
    <x v="9"/>
    <x v="0"/>
    <s v="Q3"/>
    <d v="2023-09-01T00:00:00"/>
    <s v="Under 20"/>
  </r>
  <r>
    <n v="327"/>
    <x v="136"/>
    <s v="CUST327"/>
    <x v="0"/>
    <n v="57"/>
    <x v="2"/>
    <n v="3"/>
    <n v="50"/>
    <n v="150"/>
    <x v="9"/>
    <x v="0"/>
    <s v="Q3"/>
    <d v="2023-09-01T00:00:00"/>
    <s v="50+"/>
  </r>
  <r>
    <n v="328"/>
    <x v="125"/>
    <s v="CUST328"/>
    <x v="0"/>
    <n v="39"/>
    <x v="0"/>
    <n v="2"/>
    <n v="50"/>
    <n v="100"/>
    <x v="5"/>
    <x v="0"/>
    <s v="Q1"/>
    <d v="2023-03-01T00:00:00"/>
    <s v="30-39"/>
  </r>
  <r>
    <n v="329"/>
    <x v="144"/>
    <s v="CUST329"/>
    <x v="1"/>
    <n v="46"/>
    <x v="2"/>
    <n v="4"/>
    <n v="25"/>
    <n v="100"/>
    <x v="2"/>
    <x v="0"/>
    <s v="Q1"/>
    <d v="2023-01-01T00:00:00"/>
    <s v="40-49"/>
  </r>
  <r>
    <n v="330"/>
    <x v="106"/>
    <s v="CUST330"/>
    <x v="1"/>
    <n v="25"/>
    <x v="0"/>
    <n v="4"/>
    <n v="50"/>
    <n v="200"/>
    <x v="9"/>
    <x v="0"/>
    <s v="Q3"/>
    <d v="2023-09-01T00:00:00"/>
    <s v="20-29"/>
  </r>
  <r>
    <n v="331"/>
    <x v="213"/>
    <s v="CUST331"/>
    <x v="0"/>
    <n v="28"/>
    <x v="2"/>
    <n v="3"/>
    <n v="30"/>
    <n v="90"/>
    <x v="1"/>
    <x v="0"/>
    <s v="Q1"/>
    <d v="2023-02-01T00:00:00"/>
    <s v="20-29"/>
  </r>
  <r>
    <n v="332"/>
    <x v="214"/>
    <s v="CUST332"/>
    <x v="0"/>
    <n v="58"/>
    <x v="2"/>
    <n v="4"/>
    <n v="300"/>
    <n v="1200"/>
    <x v="4"/>
    <x v="0"/>
    <s v="Q2"/>
    <d v="2023-04-01T00:00:00"/>
    <s v="50+"/>
  </r>
  <r>
    <n v="333"/>
    <x v="57"/>
    <s v="CUST333"/>
    <x v="1"/>
    <n v="54"/>
    <x v="2"/>
    <n v="4"/>
    <n v="300"/>
    <n v="1200"/>
    <x v="1"/>
    <x v="0"/>
    <s v="Q1"/>
    <d v="2023-02-01T00:00:00"/>
    <s v="50+"/>
  </r>
  <r>
    <n v="334"/>
    <x v="215"/>
    <s v="CUST334"/>
    <x v="0"/>
    <n v="31"/>
    <x v="2"/>
    <n v="3"/>
    <n v="300"/>
    <n v="900"/>
    <x v="0"/>
    <x v="0"/>
    <s v="Q4"/>
    <d v="2023-11-01T00:00:00"/>
    <s v="30-39"/>
  </r>
  <r>
    <n v="335"/>
    <x v="170"/>
    <s v="CUST335"/>
    <x v="1"/>
    <n v="47"/>
    <x v="0"/>
    <n v="4"/>
    <n v="30"/>
    <n v="120"/>
    <x v="1"/>
    <x v="0"/>
    <s v="Q1"/>
    <d v="2023-02-01T00:00:00"/>
    <s v="40-49"/>
  </r>
  <r>
    <n v="336"/>
    <x v="216"/>
    <s v="CUST336"/>
    <x v="1"/>
    <n v="52"/>
    <x v="0"/>
    <n v="3"/>
    <n v="50"/>
    <n v="150"/>
    <x v="6"/>
    <x v="0"/>
    <s v="Q4"/>
    <d v="2023-12-01T00:00:00"/>
    <s v="50+"/>
  </r>
  <r>
    <n v="337"/>
    <x v="217"/>
    <s v="CUST337"/>
    <x v="0"/>
    <n v="38"/>
    <x v="1"/>
    <n v="1"/>
    <n v="500"/>
    <n v="500"/>
    <x v="3"/>
    <x v="0"/>
    <s v="Q2"/>
    <d v="2023-05-01T00:00:00"/>
    <s v="30-39"/>
  </r>
  <r>
    <n v="338"/>
    <x v="191"/>
    <s v="CUST338"/>
    <x v="0"/>
    <n v="54"/>
    <x v="0"/>
    <n v="2"/>
    <n v="50"/>
    <n v="100"/>
    <x v="11"/>
    <x v="0"/>
    <s v="Q3"/>
    <d v="2023-07-01T00:00:00"/>
    <s v="50+"/>
  </r>
  <r>
    <n v="339"/>
    <x v="163"/>
    <s v="CUST339"/>
    <x v="1"/>
    <n v="22"/>
    <x v="2"/>
    <n v="2"/>
    <n v="25"/>
    <n v="50"/>
    <x v="5"/>
    <x v="0"/>
    <s v="Q1"/>
    <d v="2023-03-01T00:00:00"/>
    <s v="20-29"/>
  </r>
  <r>
    <n v="340"/>
    <x v="218"/>
    <s v="CUST340"/>
    <x v="1"/>
    <n v="36"/>
    <x v="1"/>
    <n v="4"/>
    <n v="300"/>
    <n v="1200"/>
    <x v="7"/>
    <x v="0"/>
    <s v="Q4"/>
    <d v="2023-10-01T00:00:00"/>
    <s v="30-39"/>
  </r>
  <r>
    <n v="341"/>
    <x v="98"/>
    <s v="CUST341"/>
    <x v="0"/>
    <n v="31"/>
    <x v="1"/>
    <n v="4"/>
    <n v="50"/>
    <n v="200"/>
    <x v="3"/>
    <x v="0"/>
    <s v="Q2"/>
    <d v="2023-05-01T00:00:00"/>
    <s v="30-39"/>
  </r>
  <r>
    <n v="342"/>
    <x v="208"/>
    <s v="CUST342"/>
    <x v="1"/>
    <n v="43"/>
    <x v="1"/>
    <n v="4"/>
    <n v="500"/>
    <n v="2000"/>
    <x v="7"/>
    <x v="0"/>
    <s v="Q4"/>
    <d v="2023-10-01T00:00:00"/>
    <s v="40-49"/>
  </r>
  <r>
    <n v="343"/>
    <x v="215"/>
    <s v="CUST343"/>
    <x v="0"/>
    <n v="21"/>
    <x v="2"/>
    <n v="2"/>
    <n v="25"/>
    <n v="50"/>
    <x v="0"/>
    <x v="0"/>
    <s v="Q4"/>
    <d v="2023-11-01T00:00:00"/>
    <s v="20-29"/>
  </r>
  <r>
    <n v="344"/>
    <x v="219"/>
    <s v="CUST344"/>
    <x v="1"/>
    <n v="42"/>
    <x v="0"/>
    <n v="1"/>
    <n v="30"/>
    <n v="30"/>
    <x v="2"/>
    <x v="0"/>
    <s v="Q1"/>
    <d v="2023-01-01T00:00:00"/>
    <s v="40-49"/>
  </r>
  <r>
    <n v="345"/>
    <x v="220"/>
    <s v="CUST345"/>
    <x v="0"/>
    <n v="62"/>
    <x v="2"/>
    <n v="1"/>
    <n v="30"/>
    <n v="30"/>
    <x v="0"/>
    <x v="0"/>
    <s v="Q4"/>
    <d v="2023-11-01T00:00:00"/>
    <s v="50+"/>
  </r>
  <r>
    <n v="346"/>
    <x v="213"/>
    <s v="CUST346"/>
    <x v="0"/>
    <n v="59"/>
    <x v="1"/>
    <n v="2"/>
    <n v="500"/>
    <n v="1000"/>
    <x v="1"/>
    <x v="0"/>
    <s v="Q1"/>
    <d v="2023-02-01T00:00:00"/>
    <s v="50+"/>
  </r>
  <r>
    <n v="347"/>
    <x v="25"/>
    <s v="CUST347"/>
    <x v="0"/>
    <n v="42"/>
    <x v="2"/>
    <n v="1"/>
    <n v="25"/>
    <n v="25"/>
    <x v="8"/>
    <x v="0"/>
    <s v="Q3"/>
    <d v="2023-08-01T00:00:00"/>
    <s v="40-49"/>
  </r>
  <r>
    <n v="348"/>
    <x v="221"/>
    <s v="CUST348"/>
    <x v="1"/>
    <n v="35"/>
    <x v="2"/>
    <n v="2"/>
    <n v="300"/>
    <n v="600"/>
    <x v="6"/>
    <x v="0"/>
    <s v="Q4"/>
    <d v="2023-12-01T00:00:00"/>
    <s v="30-39"/>
  </r>
  <r>
    <n v="349"/>
    <x v="103"/>
    <s v="CUST349"/>
    <x v="1"/>
    <n v="57"/>
    <x v="0"/>
    <n v="1"/>
    <n v="50"/>
    <n v="50"/>
    <x v="7"/>
    <x v="0"/>
    <s v="Q4"/>
    <d v="2023-10-01T00:00:00"/>
    <s v="50+"/>
  </r>
  <r>
    <n v="350"/>
    <x v="222"/>
    <s v="CUST350"/>
    <x v="0"/>
    <n v="25"/>
    <x v="0"/>
    <n v="3"/>
    <n v="25"/>
    <n v="75"/>
    <x v="7"/>
    <x v="0"/>
    <s v="Q4"/>
    <d v="2023-10-01T00:00:00"/>
    <s v="20-29"/>
  </r>
  <r>
    <n v="351"/>
    <x v="223"/>
    <s v="CUST351"/>
    <x v="1"/>
    <n v="56"/>
    <x v="1"/>
    <n v="3"/>
    <n v="30"/>
    <n v="90"/>
    <x v="9"/>
    <x v="0"/>
    <s v="Q3"/>
    <d v="2023-09-01T00:00:00"/>
    <s v="50+"/>
  </r>
  <r>
    <n v="352"/>
    <x v="86"/>
    <s v="CUST352"/>
    <x v="0"/>
    <n v="57"/>
    <x v="2"/>
    <n v="2"/>
    <n v="500"/>
    <n v="1000"/>
    <x v="10"/>
    <x v="0"/>
    <s v="Q2"/>
    <d v="2023-06-01T00:00:00"/>
    <s v="50+"/>
  </r>
  <r>
    <n v="353"/>
    <x v="224"/>
    <s v="CUST353"/>
    <x v="0"/>
    <n v="31"/>
    <x v="2"/>
    <n v="1"/>
    <n v="500"/>
    <n v="500"/>
    <x v="3"/>
    <x v="0"/>
    <s v="Q2"/>
    <d v="2023-05-01T00:00:00"/>
    <s v="30-39"/>
  </r>
  <r>
    <n v="354"/>
    <x v="225"/>
    <s v="CUST354"/>
    <x v="1"/>
    <n v="49"/>
    <x v="0"/>
    <n v="4"/>
    <n v="50"/>
    <n v="200"/>
    <x v="4"/>
    <x v="0"/>
    <s v="Q2"/>
    <d v="2023-04-01T00:00:00"/>
    <s v="40-49"/>
  </r>
  <r>
    <n v="355"/>
    <x v="174"/>
    <s v="CUST355"/>
    <x v="1"/>
    <n v="55"/>
    <x v="2"/>
    <n v="1"/>
    <n v="500"/>
    <n v="500"/>
    <x v="6"/>
    <x v="0"/>
    <s v="Q4"/>
    <d v="2023-12-01T00:00:00"/>
    <s v="50+"/>
  </r>
  <r>
    <n v="356"/>
    <x v="210"/>
    <s v="CUST356"/>
    <x v="0"/>
    <n v="50"/>
    <x v="2"/>
    <n v="3"/>
    <n v="500"/>
    <n v="1500"/>
    <x v="10"/>
    <x v="0"/>
    <s v="Q2"/>
    <d v="2023-06-01T00:00:00"/>
    <s v="50+"/>
  </r>
  <r>
    <n v="357"/>
    <x v="143"/>
    <s v="CUST357"/>
    <x v="1"/>
    <n v="40"/>
    <x v="2"/>
    <n v="3"/>
    <n v="25"/>
    <n v="75"/>
    <x v="3"/>
    <x v="0"/>
    <s v="Q2"/>
    <d v="2023-05-01T00:00:00"/>
    <s v="40-49"/>
  </r>
  <r>
    <n v="358"/>
    <x v="42"/>
    <s v="CUST358"/>
    <x v="1"/>
    <n v="32"/>
    <x v="0"/>
    <n v="1"/>
    <n v="300"/>
    <n v="300"/>
    <x v="3"/>
    <x v="0"/>
    <s v="Q2"/>
    <d v="2023-05-01T00:00:00"/>
    <s v="30-39"/>
  </r>
  <r>
    <n v="359"/>
    <x v="94"/>
    <s v="CUST359"/>
    <x v="0"/>
    <n v="50"/>
    <x v="1"/>
    <n v="1"/>
    <n v="50"/>
    <n v="50"/>
    <x v="11"/>
    <x v="0"/>
    <s v="Q3"/>
    <d v="2023-07-01T00:00:00"/>
    <s v="50+"/>
  </r>
  <r>
    <n v="360"/>
    <x v="176"/>
    <s v="CUST360"/>
    <x v="0"/>
    <n v="42"/>
    <x v="1"/>
    <n v="4"/>
    <n v="25"/>
    <n v="100"/>
    <x v="5"/>
    <x v="0"/>
    <s v="Q1"/>
    <d v="2023-03-01T00:00:00"/>
    <s v="40-49"/>
  </r>
  <r>
    <n v="361"/>
    <x v="70"/>
    <s v="CUST361"/>
    <x v="1"/>
    <n v="34"/>
    <x v="2"/>
    <n v="4"/>
    <n v="300"/>
    <n v="1200"/>
    <x v="6"/>
    <x v="0"/>
    <s v="Q4"/>
    <d v="2023-12-01T00:00:00"/>
    <s v="30-39"/>
  </r>
  <r>
    <n v="362"/>
    <x v="188"/>
    <s v="CUST362"/>
    <x v="0"/>
    <n v="50"/>
    <x v="1"/>
    <n v="1"/>
    <n v="25"/>
    <n v="25"/>
    <x v="0"/>
    <x v="0"/>
    <s v="Q4"/>
    <d v="2023-11-01T00:00:00"/>
    <s v="50+"/>
  </r>
  <r>
    <n v="363"/>
    <x v="226"/>
    <s v="CUST363"/>
    <x v="0"/>
    <n v="64"/>
    <x v="0"/>
    <n v="1"/>
    <n v="25"/>
    <n v="25"/>
    <x v="10"/>
    <x v="0"/>
    <s v="Q2"/>
    <d v="2023-06-01T00:00:00"/>
    <s v="50+"/>
  </r>
  <r>
    <n v="364"/>
    <x v="96"/>
    <s v="CUST364"/>
    <x v="1"/>
    <n v="19"/>
    <x v="0"/>
    <n v="1"/>
    <n v="500"/>
    <n v="500"/>
    <x v="8"/>
    <x v="0"/>
    <s v="Q3"/>
    <d v="2023-08-01T00:00:00"/>
    <s v="Under 20"/>
  </r>
  <r>
    <n v="365"/>
    <x v="86"/>
    <s v="CUST365"/>
    <x v="0"/>
    <n v="31"/>
    <x v="1"/>
    <n v="1"/>
    <n v="300"/>
    <n v="300"/>
    <x v="10"/>
    <x v="0"/>
    <s v="Q2"/>
    <d v="2023-06-01T00:00:00"/>
    <s v="30-39"/>
  </r>
  <r>
    <n v="366"/>
    <x v="227"/>
    <s v="CUST366"/>
    <x v="0"/>
    <n v="57"/>
    <x v="1"/>
    <n v="2"/>
    <n v="50"/>
    <n v="100"/>
    <x v="1"/>
    <x v="0"/>
    <s v="Q1"/>
    <d v="2023-02-01T00:00:00"/>
    <s v="50+"/>
  </r>
  <r>
    <n v="367"/>
    <x v="228"/>
    <s v="CUST367"/>
    <x v="1"/>
    <n v="57"/>
    <x v="2"/>
    <n v="1"/>
    <n v="50"/>
    <n v="50"/>
    <x v="2"/>
    <x v="0"/>
    <s v="Q1"/>
    <d v="2023-01-01T00:00:00"/>
    <s v="50+"/>
  </r>
  <r>
    <n v="368"/>
    <x v="96"/>
    <s v="CUST368"/>
    <x v="1"/>
    <n v="56"/>
    <x v="1"/>
    <n v="4"/>
    <n v="300"/>
    <n v="1200"/>
    <x v="8"/>
    <x v="0"/>
    <s v="Q3"/>
    <d v="2023-08-01T00:00:00"/>
    <s v="50+"/>
  </r>
  <r>
    <n v="369"/>
    <x v="229"/>
    <s v="CUST369"/>
    <x v="0"/>
    <n v="23"/>
    <x v="2"/>
    <n v="3"/>
    <n v="500"/>
    <n v="1500"/>
    <x v="0"/>
    <x v="0"/>
    <s v="Q4"/>
    <d v="2023-11-01T00:00:00"/>
    <s v="20-29"/>
  </r>
  <r>
    <n v="370"/>
    <x v="230"/>
    <s v="CUST370"/>
    <x v="0"/>
    <n v="23"/>
    <x v="2"/>
    <n v="2"/>
    <n v="30"/>
    <n v="60"/>
    <x v="7"/>
    <x v="0"/>
    <s v="Q4"/>
    <d v="2023-10-01T00:00:00"/>
    <s v="20-29"/>
  </r>
  <r>
    <n v="371"/>
    <x v="62"/>
    <s v="CUST371"/>
    <x v="1"/>
    <n v="20"/>
    <x v="0"/>
    <n v="1"/>
    <n v="25"/>
    <n v="25"/>
    <x v="1"/>
    <x v="0"/>
    <s v="Q1"/>
    <d v="2023-02-01T00:00:00"/>
    <s v="20-29"/>
  </r>
  <r>
    <n v="372"/>
    <x v="227"/>
    <s v="CUST372"/>
    <x v="1"/>
    <n v="24"/>
    <x v="0"/>
    <n v="3"/>
    <n v="500"/>
    <n v="1500"/>
    <x v="1"/>
    <x v="0"/>
    <s v="Q1"/>
    <d v="2023-02-01T00:00:00"/>
    <s v="20-29"/>
  </r>
  <r>
    <n v="373"/>
    <x v="99"/>
    <s v="CUST373"/>
    <x v="1"/>
    <n v="25"/>
    <x v="0"/>
    <n v="2"/>
    <n v="300"/>
    <n v="600"/>
    <x v="7"/>
    <x v="0"/>
    <s v="Q4"/>
    <d v="2023-10-01T00:00:00"/>
    <s v="20-29"/>
  </r>
  <r>
    <n v="374"/>
    <x v="175"/>
    <s v="CUST374"/>
    <x v="1"/>
    <n v="59"/>
    <x v="0"/>
    <n v="3"/>
    <n v="25"/>
    <n v="75"/>
    <x v="4"/>
    <x v="0"/>
    <s v="Q2"/>
    <d v="2023-04-01T00:00:00"/>
    <s v="50+"/>
  </r>
  <r>
    <n v="375"/>
    <x v="129"/>
    <s v="CUST375"/>
    <x v="0"/>
    <n v="32"/>
    <x v="1"/>
    <n v="1"/>
    <n v="50"/>
    <n v="50"/>
    <x v="9"/>
    <x v="0"/>
    <s v="Q3"/>
    <d v="2023-09-01T00:00:00"/>
    <s v="30-39"/>
  </r>
  <r>
    <n v="376"/>
    <x v="42"/>
    <s v="CUST376"/>
    <x v="1"/>
    <n v="64"/>
    <x v="0"/>
    <n v="1"/>
    <n v="30"/>
    <n v="30"/>
    <x v="3"/>
    <x v="0"/>
    <s v="Q2"/>
    <d v="2023-05-01T00:00:00"/>
    <s v="50+"/>
  </r>
  <r>
    <n v="377"/>
    <x v="176"/>
    <s v="CUST377"/>
    <x v="1"/>
    <n v="46"/>
    <x v="1"/>
    <n v="4"/>
    <n v="50"/>
    <n v="200"/>
    <x v="5"/>
    <x v="0"/>
    <s v="Q1"/>
    <d v="2023-03-01T00:00:00"/>
    <s v="40-49"/>
  </r>
  <r>
    <n v="378"/>
    <x v="231"/>
    <s v="CUST378"/>
    <x v="0"/>
    <n v="50"/>
    <x v="0"/>
    <n v="1"/>
    <n v="300"/>
    <n v="300"/>
    <x v="10"/>
    <x v="0"/>
    <s v="Q2"/>
    <d v="2023-06-01T00:00:00"/>
    <s v="50+"/>
  </r>
  <r>
    <n v="379"/>
    <x v="57"/>
    <s v="CUST379"/>
    <x v="1"/>
    <n v="47"/>
    <x v="1"/>
    <n v="1"/>
    <n v="25"/>
    <n v="25"/>
    <x v="1"/>
    <x v="0"/>
    <s v="Q1"/>
    <d v="2023-02-01T00:00:00"/>
    <s v="40-49"/>
  </r>
  <r>
    <n v="380"/>
    <x v="4"/>
    <s v="CUST380"/>
    <x v="0"/>
    <n v="56"/>
    <x v="2"/>
    <n v="2"/>
    <n v="300"/>
    <n v="600"/>
    <x v="3"/>
    <x v="0"/>
    <s v="Q2"/>
    <d v="2023-05-01T00:00:00"/>
    <s v="50+"/>
  </r>
  <r>
    <n v="381"/>
    <x v="67"/>
    <s v="CUST381"/>
    <x v="1"/>
    <n v="44"/>
    <x v="1"/>
    <n v="4"/>
    <n v="25"/>
    <n v="100"/>
    <x v="11"/>
    <x v="0"/>
    <s v="Q3"/>
    <d v="2023-07-01T00:00:00"/>
    <s v="40-49"/>
  </r>
  <r>
    <n v="382"/>
    <x v="232"/>
    <s v="CUST382"/>
    <x v="1"/>
    <n v="53"/>
    <x v="1"/>
    <n v="2"/>
    <n v="500"/>
    <n v="1000"/>
    <x v="3"/>
    <x v="0"/>
    <s v="Q2"/>
    <d v="2023-05-01T00:00:00"/>
    <s v="50+"/>
  </r>
  <r>
    <n v="383"/>
    <x v="125"/>
    <s v="CUST383"/>
    <x v="1"/>
    <n v="46"/>
    <x v="0"/>
    <n v="3"/>
    <n v="30"/>
    <n v="90"/>
    <x v="5"/>
    <x v="0"/>
    <s v="Q1"/>
    <d v="2023-03-01T00:00:00"/>
    <s v="40-49"/>
  </r>
  <r>
    <n v="384"/>
    <x v="160"/>
    <s v="CUST384"/>
    <x v="0"/>
    <n v="55"/>
    <x v="1"/>
    <n v="1"/>
    <n v="500"/>
    <n v="500"/>
    <x v="8"/>
    <x v="0"/>
    <s v="Q3"/>
    <d v="2023-08-01T00:00:00"/>
    <s v="50+"/>
  </r>
  <r>
    <n v="385"/>
    <x v="233"/>
    <s v="CUST385"/>
    <x v="0"/>
    <n v="50"/>
    <x v="2"/>
    <n v="3"/>
    <n v="500"/>
    <n v="1500"/>
    <x v="7"/>
    <x v="0"/>
    <s v="Q4"/>
    <d v="2023-10-01T00:00:00"/>
    <s v="50+"/>
  </r>
  <r>
    <n v="386"/>
    <x v="56"/>
    <s v="CUST386"/>
    <x v="1"/>
    <n v="54"/>
    <x v="2"/>
    <n v="2"/>
    <n v="300"/>
    <n v="600"/>
    <x v="6"/>
    <x v="0"/>
    <s v="Q4"/>
    <d v="2023-12-01T00:00:00"/>
    <s v="50+"/>
  </r>
  <r>
    <n v="387"/>
    <x v="234"/>
    <s v="CUST387"/>
    <x v="0"/>
    <n v="44"/>
    <x v="0"/>
    <n v="1"/>
    <n v="30"/>
    <n v="30"/>
    <x v="10"/>
    <x v="0"/>
    <s v="Q2"/>
    <d v="2023-06-01T00:00:00"/>
    <s v="40-49"/>
  </r>
  <r>
    <n v="388"/>
    <x v="235"/>
    <s v="CUST388"/>
    <x v="0"/>
    <n v="50"/>
    <x v="2"/>
    <n v="1"/>
    <n v="25"/>
    <n v="25"/>
    <x v="0"/>
    <x v="0"/>
    <s v="Q4"/>
    <d v="2023-11-01T00:00:00"/>
    <s v="50+"/>
  </r>
  <r>
    <n v="389"/>
    <x v="187"/>
    <s v="CUST389"/>
    <x v="0"/>
    <n v="21"/>
    <x v="1"/>
    <n v="2"/>
    <n v="25"/>
    <n v="50"/>
    <x v="6"/>
    <x v="0"/>
    <s v="Q4"/>
    <d v="2023-12-01T00:00:00"/>
    <s v="20-29"/>
  </r>
  <r>
    <n v="390"/>
    <x v="118"/>
    <s v="CUST390"/>
    <x v="0"/>
    <n v="39"/>
    <x v="2"/>
    <n v="2"/>
    <n v="50"/>
    <n v="100"/>
    <x v="9"/>
    <x v="0"/>
    <s v="Q3"/>
    <d v="2023-09-01T00:00:00"/>
    <s v="30-39"/>
  </r>
  <r>
    <n v="391"/>
    <x v="228"/>
    <s v="CUST391"/>
    <x v="0"/>
    <n v="19"/>
    <x v="0"/>
    <n v="2"/>
    <n v="25"/>
    <n v="50"/>
    <x v="2"/>
    <x v="0"/>
    <s v="Q1"/>
    <d v="2023-01-01T00:00:00"/>
    <s v="Under 20"/>
  </r>
  <r>
    <n v="392"/>
    <x v="236"/>
    <s v="CUST392"/>
    <x v="0"/>
    <n v="27"/>
    <x v="1"/>
    <n v="2"/>
    <n v="300"/>
    <n v="600"/>
    <x v="6"/>
    <x v="0"/>
    <s v="Q4"/>
    <d v="2023-12-01T00:00:00"/>
    <s v="20-29"/>
  </r>
  <r>
    <n v="393"/>
    <x v="120"/>
    <s v="CUST393"/>
    <x v="1"/>
    <n v="22"/>
    <x v="0"/>
    <n v="2"/>
    <n v="500"/>
    <n v="1000"/>
    <x v="7"/>
    <x v="0"/>
    <s v="Q4"/>
    <d v="2023-10-01T00:00:00"/>
    <s v="20-29"/>
  </r>
  <r>
    <n v="394"/>
    <x v="226"/>
    <s v="CUST394"/>
    <x v="1"/>
    <n v="27"/>
    <x v="1"/>
    <n v="1"/>
    <n v="500"/>
    <n v="500"/>
    <x v="10"/>
    <x v="0"/>
    <s v="Q2"/>
    <d v="2023-06-01T00:00:00"/>
    <s v="20-29"/>
  </r>
  <r>
    <n v="395"/>
    <x v="237"/>
    <s v="CUST395"/>
    <x v="0"/>
    <n v="50"/>
    <x v="2"/>
    <n v="2"/>
    <n v="500"/>
    <n v="1000"/>
    <x v="6"/>
    <x v="0"/>
    <s v="Q4"/>
    <d v="2023-12-01T00:00:00"/>
    <s v="50+"/>
  </r>
  <r>
    <n v="396"/>
    <x v="238"/>
    <s v="CUST396"/>
    <x v="1"/>
    <n v="55"/>
    <x v="0"/>
    <n v="1"/>
    <n v="30"/>
    <n v="30"/>
    <x v="1"/>
    <x v="0"/>
    <s v="Q1"/>
    <d v="2023-02-01T00:00:00"/>
    <s v="50+"/>
  </r>
  <r>
    <n v="397"/>
    <x v="239"/>
    <s v="CUST397"/>
    <x v="1"/>
    <n v="30"/>
    <x v="0"/>
    <n v="1"/>
    <n v="25"/>
    <n v="25"/>
    <x v="5"/>
    <x v="0"/>
    <s v="Q1"/>
    <d v="2023-03-01T00:00:00"/>
    <s v="30-39"/>
  </r>
  <r>
    <n v="398"/>
    <x v="42"/>
    <s v="CUST398"/>
    <x v="1"/>
    <n v="48"/>
    <x v="1"/>
    <n v="2"/>
    <n v="300"/>
    <n v="600"/>
    <x v="3"/>
    <x v="0"/>
    <s v="Q2"/>
    <d v="2023-05-01T00:00:00"/>
    <s v="40-49"/>
  </r>
  <r>
    <n v="399"/>
    <x v="240"/>
    <s v="CUST399"/>
    <x v="1"/>
    <n v="64"/>
    <x v="0"/>
    <n v="2"/>
    <n v="30"/>
    <n v="60"/>
    <x v="5"/>
    <x v="0"/>
    <s v="Q1"/>
    <d v="2023-03-01T00:00:00"/>
    <s v="50+"/>
  </r>
  <r>
    <n v="400"/>
    <x v="130"/>
    <s v="CUST400"/>
    <x v="0"/>
    <n v="53"/>
    <x v="1"/>
    <n v="4"/>
    <n v="50"/>
    <n v="200"/>
    <x v="1"/>
    <x v="0"/>
    <s v="Q1"/>
    <d v="2023-02-01T00:00:00"/>
    <s v="50+"/>
  </r>
  <r>
    <n v="401"/>
    <x v="120"/>
    <s v="CUST401"/>
    <x v="1"/>
    <n v="62"/>
    <x v="1"/>
    <n v="1"/>
    <n v="300"/>
    <n v="300"/>
    <x v="7"/>
    <x v="0"/>
    <s v="Q4"/>
    <d v="2023-10-01T00:00:00"/>
    <s v="50+"/>
  </r>
  <r>
    <n v="402"/>
    <x v="34"/>
    <s v="CUST402"/>
    <x v="1"/>
    <n v="41"/>
    <x v="1"/>
    <n v="2"/>
    <n v="300"/>
    <n v="600"/>
    <x v="5"/>
    <x v="0"/>
    <s v="Q1"/>
    <d v="2023-03-01T00:00:00"/>
    <s v="40-49"/>
  </r>
  <r>
    <n v="403"/>
    <x v="241"/>
    <s v="CUST403"/>
    <x v="0"/>
    <n v="32"/>
    <x v="1"/>
    <n v="2"/>
    <n v="300"/>
    <n v="600"/>
    <x v="3"/>
    <x v="0"/>
    <s v="Q2"/>
    <d v="2023-05-01T00:00:00"/>
    <s v="30-39"/>
  </r>
  <r>
    <n v="404"/>
    <x v="242"/>
    <s v="CUST404"/>
    <x v="0"/>
    <n v="46"/>
    <x v="2"/>
    <n v="2"/>
    <n v="500"/>
    <n v="1000"/>
    <x v="3"/>
    <x v="0"/>
    <s v="Q2"/>
    <d v="2023-05-01T00:00:00"/>
    <s v="40-49"/>
  </r>
  <r>
    <n v="405"/>
    <x v="41"/>
    <s v="CUST405"/>
    <x v="1"/>
    <n v="25"/>
    <x v="1"/>
    <n v="4"/>
    <n v="300"/>
    <n v="1200"/>
    <x v="0"/>
    <x v="0"/>
    <s v="Q4"/>
    <d v="2023-11-01T00:00:00"/>
    <s v="20-29"/>
  </r>
  <r>
    <n v="406"/>
    <x v="69"/>
    <s v="CUST406"/>
    <x v="1"/>
    <n v="22"/>
    <x v="0"/>
    <n v="4"/>
    <n v="25"/>
    <n v="100"/>
    <x v="4"/>
    <x v="0"/>
    <s v="Q2"/>
    <d v="2023-04-01T00:00:00"/>
    <s v="20-29"/>
  </r>
  <r>
    <n v="407"/>
    <x v="243"/>
    <s v="CUST407"/>
    <x v="1"/>
    <n v="46"/>
    <x v="2"/>
    <n v="3"/>
    <n v="300"/>
    <n v="900"/>
    <x v="10"/>
    <x v="0"/>
    <s v="Q2"/>
    <d v="2023-06-01T00:00:00"/>
    <s v="40-49"/>
  </r>
  <r>
    <n v="408"/>
    <x v="225"/>
    <s v="CUST408"/>
    <x v="1"/>
    <n v="64"/>
    <x v="0"/>
    <n v="1"/>
    <n v="500"/>
    <n v="500"/>
    <x v="4"/>
    <x v="0"/>
    <s v="Q2"/>
    <d v="2023-04-01T00:00:00"/>
    <s v="50+"/>
  </r>
  <r>
    <n v="409"/>
    <x v="244"/>
    <s v="CUST409"/>
    <x v="1"/>
    <n v="21"/>
    <x v="2"/>
    <n v="3"/>
    <n v="300"/>
    <n v="900"/>
    <x v="6"/>
    <x v="0"/>
    <s v="Q4"/>
    <d v="2023-12-01T00:00:00"/>
    <s v="20-29"/>
  </r>
  <r>
    <n v="410"/>
    <x v="245"/>
    <s v="CUST410"/>
    <x v="1"/>
    <n v="29"/>
    <x v="1"/>
    <n v="2"/>
    <n v="50"/>
    <n v="100"/>
    <x v="0"/>
    <x v="0"/>
    <s v="Q4"/>
    <d v="2023-11-01T00:00:00"/>
    <s v="20-29"/>
  </r>
  <r>
    <n v="411"/>
    <x v="42"/>
    <s v="CUST411"/>
    <x v="0"/>
    <n v="62"/>
    <x v="2"/>
    <n v="4"/>
    <n v="50"/>
    <n v="200"/>
    <x v="3"/>
    <x v="0"/>
    <s v="Q2"/>
    <d v="2023-05-01T00:00:00"/>
    <s v="50+"/>
  </r>
  <r>
    <n v="412"/>
    <x v="18"/>
    <s v="CUST412"/>
    <x v="1"/>
    <n v="19"/>
    <x v="2"/>
    <n v="4"/>
    <n v="500"/>
    <n v="2000"/>
    <x v="9"/>
    <x v="0"/>
    <s v="Q3"/>
    <d v="2023-09-01T00:00:00"/>
    <s v="Under 20"/>
  </r>
  <r>
    <n v="413"/>
    <x v="140"/>
    <s v="CUST413"/>
    <x v="1"/>
    <n v="44"/>
    <x v="0"/>
    <n v="3"/>
    <n v="25"/>
    <n v="75"/>
    <x v="9"/>
    <x v="0"/>
    <s v="Q3"/>
    <d v="2023-09-01T00:00:00"/>
    <s v="40-49"/>
  </r>
  <r>
    <n v="414"/>
    <x v="119"/>
    <s v="CUST414"/>
    <x v="0"/>
    <n v="48"/>
    <x v="0"/>
    <n v="4"/>
    <n v="25"/>
    <n v="100"/>
    <x v="3"/>
    <x v="0"/>
    <s v="Q2"/>
    <d v="2023-05-01T00:00:00"/>
    <s v="40-49"/>
  </r>
  <r>
    <n v="415"/>
    <x v="246"/>
    <s v="CUST415"/>
    <x v="0"/>
    <n v="53"/>
    <x v="1"/>
    <n v="2"/>
    <n v="30"/>
    <n v="60"/>
    <x v="2"/>
    <x v="0"/>
    <s v="Q1"/>
    <d v="2023-01-01T00:00:00"/>
    <s v="50+"/>
  </r>
  <r>
    <n v="416"/>
    <x v="15"/>
    <s v="CUST416"/>
    <x v="0"/>
    <n v="53"/>
    <x v="2"/>
    <n v="4"/>
    <n v="500"/>
    <n v="2000"/>
    <x v="1"/>
    <x v="0"/>
    <s v="Q1"/>
    <d v="2023-02-01T00:00:00"/>
    <s v="50+"/>
  </r>
  <r>
    <n v="417"/>
    <x v="245"/>
    <s v="CUST417"/>
    <x v="0"/>
    <n v="43"/>
    <x v="2"/>
    <n v="3"/>
    <n v="300"/>
    <n v="900"/>
    <x v="0"/>
    <x v="0"/>
    <s v="Q4"/>
    <d v="2023-11-01T00:00:00"/>
    <s v="40-49"/>
  </r>
  <r>
    <n v="418"/>
    <x v="12"/>
    <s v="CUST418"/>
    <x v="1"/>
    <n v="60"/>
    <x v="2"/>
    <n v="2"/>
    <n v="500"/>
    <n v="1000"/>
    <x v="8"/>
    <x v="0"/>
    <s v="Q3"/>
    <d v="2023-08-01T00:00:00"/>
    <s v="50+"/>
  </r>
  <r>
    <n v="419"/>
    <x v="247"/>
    <s v="CUST419"/>
    <x v="1"/>
    <n v="44"/>
    <x v="1"/>
    <n v="3"/>
    <n v="30"/>
    <n v="90"/>
    <x v="3"/>
    <x v="0"/>
    <s v="Q2"/>
    <d v="2023-05-01T00:00:00"/>
    <s v="40-49"/>
  </r>
  <r>
    <n v="420"/>
    <x v="43"/>
    <s v="CUST420"/>
    <x v="1"/>
    <n v="22"/>
    <x v="1"/>
    <n v="4"/>
    <n v="500"/>
    <n v="2000"/>
    <x v="2"/>
    <x v="0"/>
    <s v="Q1"/>
    <d v="2023-01-01T00:00:00"/>
    <s v="20-29"/>
  </r>
  <r>
    <n v="421"/>
    <x v="126"/>
    <s v="CUST421"/>
    <x v="1"/>
    <n v="37"/>
    <x v="1"/>
    <n v="3"/>
    <n v="500"/>
    <n v="1500"/>
    <x v="2"/>
    <x v="0"/>
    <s v="Q1"/>
    <d v="2023-01-01T00:00:00"/>
    <s v="30-39"/>
  </r>
  <r>
    <n v="422"/>
    <x v="248"/>
    <s v="CUST422"/>
    <x v="1"/>
    <n v="28"/>
    <x v="1"/>
    <n v="3"/>
    <n v="30"/>
    <n v="90"/>
    <x v="10"/>
    <x v="0"/>
    <s v="Q2"/>
    <d v="2023-06-01T00:00:00"/>
    <s v="20-29"/>
  </r>
  <r>
    <n v="423"/>
    <x v="249"/>
    <s v="CUST423"/>
    <x v="1"/>
    <n v="27"/>
    <x v="1"/>
    <n v="1"/>
    <n v="25"/>
    <n v="25"/>
    <x v="5"/>
    <x v="0"/>
    <s v="Q1"/>
    <d v="2023-03-01T00:00:00"/>
    <s v="20-29"/>
  </r>
  <r>
    <n v="424"/>
    <x v="250"/>
    <s v="CUST424"/>
    <x v="0"/>
    <n v="57"/>
    <x v="0"/>
    <n v="4"/>
    <n v="300"/>
    <n v="1200"/>
    <x v="0"/>
    <x v="0"/>
    <s v="Q4"/>
    <d v="2023-11-01T00:00:00"/>
    <s v="50+"/>
  </r>
  <r>
    <n v="425"/>
    <x v="100"/>
    <s v="CUST425"/>
    <x v="1"/>
    <n v="55"/>
    <x v="2"/>
    <n v="4"/>
    <n v="30"/>
    <n v="120"/>
    <x v="3"/>
    <x v="0"/>
    <s v="Q2"/>
    <d v="2023-05-01T00:00:00"/>
    <s v="50+"/>
  </r>
  <r>
    <n v="426"/>
    <x v="134"/>
    <s v="CUST426"/>
    <x v="0"/>
    <n v="23"/>
    <x v="2"/>
    <n v="3"/>
    <n v="50"/>
    <n v="150"/>
    <x v="5"/>
    <x v="0"/>
    <s v="Q1"/>
    <d v="2023-03-01T00:00:00"/>
    <s v="20-29"/>
  </r>
  <r>
    <n v="427"/>
    <x v="196"/>
    <s v="CUST427"/>
    <x v="0"/>
    <n v="25"/>
    <x v="2"/>
    <n v="1"/>
    <n v="25"/>
    <n v="25"/>
    <x v="8"/>
    <x v="0"/>
    <s v="Q3"/>
    <d v="2023-08-01T00:00:00"/>
    <s v="20-29"/>
  </r>
  <r>
    <n v="428"/>
    <x v="49"/>
    <s v="CUST428"/>
    <x v="1"/>
    <n v="40"/>
    <x v="2"/>
    <n v="4"/>
    <n v="50"/>
    <n v="200"/>
    <x v="7"/>
    <x v="0"/>
    <s v="Q4"/>
    <d v="2023-10-01T00:00:00"/>
    <s v="40-49"/>
  </r>
  <r>
    <n v="429"/>
    <x v="251"/>
    <s v="CUST429"/>
    <x v="0"/>
    <n v="64"/>
    <x v="2"/>
    <n v="2"/>
    <n v="25"/>
    <n v="50"/>
    <x v="6"/>
    <x v="0"/>
    <s v="Q4"/>
    <d v="2023-12-01T00:00:00"/>
    <s v="50+"/>
  </r>
  <r>
    <n v="430"/>
    <x v="252"/>
    <s v="CUST430"/>
    <x v="1"/>
    <n v="43"/>
    <x v="2"/>
    <n v="3"/>
    <n v="300"/>
    <n v="900"/>
    <x v="8"/>
    <x v="0"/>
    <s v="Q3"/>
    <d v="2023-08-01T00:00:00"/>
    <s v="40-49"/>
  </r>
  <r>
    <n v="431"/>
    <x v="21"/>
    <s v="CUST431"/>
    <x v="0"/>
    <n v="63"/>
    <x v="2"/>
    <n v="4"/>
    <n v="300"/>
    <n v="1200"/>
    <x v="7"/>
    <x v="0"/>
    <s v="Q4"/>
    <d v="2023-10-01T00:00:00"/>
    <s v="50+"/>
  </r>
  <r>
    <n v="432"/>
    <x v="228"/>
    <s v="CUST432"/>
    <x v="1"/>
    <n v="60"/>
    <x v="2"/>
    <n v="2"/>
    <n v="500"/>
    <n v="1000"/>
    <x v="2"/>
    <x v="0"/>
    <s v="Q1"/>
    <d v="2023-01-01T00:00:00"/>
    <s v="50+"/>
  </r>
  <r>
    <n v="433"/>
    <x v="1"/>
    <s v="CUST433"/>
    <x v="0"/>
    <n v="29"/>
    <x v="0"/>
    <n v="4"/>
    <n v="50"/>
    <n v="200"/>
    <x v="1"/>
    <x v="0"/>
    <s v="Q1"/>
    <d v="2023-02-01T00:00:00"/>
    <s v="20-29"/>
  </r>
  <r>
    <n v="434"/>
    <x v="195"/>
    <s v="CUST434"/>
    <x v="1"/>
    <n v="43"/>
    <x v="2"/>
    <n v="2"/>
    <n v="25"/>
    <n v="50"/>
    <x v="1"/>
    <x v="0"/>
    <s v="Q1"/>
    <d v="2023-02-01T00:00:00"/>
    <s v="40-49"/>
  </r>
  <r>
    <n v="435"/>
    <x v="156"/>
    <s v="CUST435"/>
    <x v="1"/>
    <n v="30"/>
    <x v="0"/>
    <n v="3"/>
    <n v="300"/>
    <n v="900"/>
    <x v="6"/>
    <x v="0"/>
    <s v="Q4"/>
    <d v="2023-12-01T00:00:00"/>
    <s v="30-39"/>
  </r>
  <r>
    <n v="436"/>
    <x v="253"/>
    <s v="CUST436"/>
    <x v="1"/>
    <n v="57"/>
    <x v="1"/>
    <n v="4"/>
    <n v="30"/>
    <n v="120"/>
    <x v="5"/>
    <x v="0"/>
    <s v="Q1"/>
    <d v="2023-03-01T00:00:00"/>
    <s v="50+"/>
  </r>
  <r>
    <n v="437"/>
    <x v="9"/>
    <s v="CUST437"/>
    <x v="1"/>
    <n v="35"/>
    <x v="2"/>
    <n v="4"/>
    <n v="300"/>
    <n v="1200"/>
    <x v="7"/>
    <x v="0"/>
    <s v="Q4"/>
    <d v="2023-10-01T00:00:00"/>
    <s v="30-39"/>
  </r>
  <r>
    <n v="438"/>
    <x v="254"/>
    <s v="CUST438"/>
    <x v="1"/>
    <n v="42"/>
    <x v="1"/>
    <n v="1"/>
    <n v="30"/>
    <n v="30"/>
    <x v="2"/>
    <x v="0"/>
    <s v="Q1"/>
    <d v="2023-01-01T00:00:00"/>
    <s v="40-49"/>
  </r>
  <r>
    <n v="439"/>
    <x v="67"/>
    <s v="CUST439"/>
    <x v="0"/>
    <n v="50"/>
    <x v="1"/>
    <n v="3"/>
    <n v="25"/>
    <n v="75"/>
    <x v="11"/>
    <x v="0"/>
    <s v="Q3"/>
    <d v="2023-07-01T00:00:00"/>
    <s v="50+"/>
  </r>
  <r>
    <n v="440"/>
    <x v="103"/>
    <s v="CUST440"/>
    <x v="0"/>
    <n v="64"/>
    <x v="1"/>
    <n v="2"/>
    <n v="300"/>
    <n v="600"/>
    <x v="7"/>
    <x v="0"/>
    <s v="Q4"/>
    <d v="2023-10-01T00:00:00"/>
    <s v="50+"/>
  </r>
  <r>
    <n v="441"/>
    <x v="49"/>
    <s v="CUST441"/>
    <x v="0"/>
    <n v="57"/>
    <x v="0"/>
    <n v="4"/>
    <n v="300"/>
    <n v="1200"/>
    <x v="7"/>
    <x v="0"/>
    <s v="Q4"/>
    <d v="2023-10-01T00:00:00"/>
    <s v="50+"/>
  </r>
  <r>
    <n v="442"/>
    <x v="255"/>
    <s v="CUST442"/>
    <x v="1"/>
    <n v="60"/>
    <x v="1"/>
    <n v="4"/>
    <n v="25"/>
    <n v="100"/>
    <x v="5"/>
    <x v="0"/>
    <s v="Q1"/>
    <d v="2023-03-01T00:00:00"/>
    <s v="50+"/>
  </r>
  <r>
    <n v="443"/>
    <x v="183"/>
    <s v="CUST443"/>
    <x v="0"/>
    <n v="29"/>
    <x v="1"/>
    <n v="2"/>
    <n v="300"/>
    <n v="600"/>
    <x v="8"/>
    <x v="0"/>
    <s v="Q3"/>
    <d v="2023-08-01T00:00:00"/>
    <s v="20-29"/>
  </r>
  <r>
    <n v="444"/>
    <x v="150"/>
    <s v="CUST444"/>
    <x v="1"/>
    <n v="61"/>
    <x v="1"/>
    <n v="3"/>
    <n v="30"/>
    <n v="90"/>
    <x v="5"/>
    <x v="0"/>
    <s v="Q1"/>
    <d v="2023-03-01T00:00:00"/>
    <s v="50+"/>
  </r>
  <r>
    <n v="445"/>
    <x v="256"/>
    <s v="CUST445"/>
    <x v="1"/>
    <n v="53"/>
    <x v="2"/>
    <n v="1"/>
    <n v="300"/>
    <n v="300"/>
    <x v="2"/>
    <x v="0"/>
    <s v="Q1"/>
    <d v="2023-01-01T00:00:00"/>
    <s v="50+"/>
  </r>
  <r>
    <n v="446"/>
    <x v="142"/>
    <s v="CUST446"/>
    <x v="0"/>
    <n v="21"/>
    <x v="2"/>
    <n v="1"/>
    <n v="50"/>
    <n v="50"/>
    <x v="10"/>
    <x v="0"/>
    <s v="Q2"/>
    <d v="2023-06-01T00:00:00"/>
    <s v="20-29"/>
  </r>
  <r>
    <n v="447"/>
    <x v="65"/>
    <s v="CUST447"/>
    <x v="0"/>
    <n v="22"/>
    <x v="0"/>
    <n v="4"/>
    <n v="500"/>
    <n v="2000"/>
    <x v="11"/>
    <x v="0"/>
    <s v="Q3"/>
    <d v="2023-07-01T00:00:00"/>
    <s v="20-29"/>
  </r>
  <r>
    <n v="448"/>
    <x v="219"/>
    <s v="CUST448"/>
    <x v="1"/>
    <n v="54"/>
    <x v="0"/>
    <n v="2"/>
    <n v="30"/>
    <n v="60"/>
    <x v="2"/>
    <x v="0"/>
    <s v="Q1"/>
    <d v="2023-01-01T00:00:00"/>
    <s v="50+"/>
  </r>
  <r>
    <n v="449"/>
    <x v="39"/>
    <s v="CUST449"/>
    <x v="0"/>
    <n v="25"/>
    <x v="2"/>
    <n v="4"/>
    <n v="50"/>
    <n v="200"/>
    <x v="11"/>
    <x v="0"/>
    <s v="Q3"/>
    <d v="2023-07-01T00:00:00"/>
    <s v="20-29"/>
  </r>
  <r>
    <n v="450"/>
    <x v="69"/>
    <s v="CUST450"/>
    <x v="1"/>
    <n v="59"/>
    <x v="0"/>
    <n v="2"/>
    <n v="25"/>
    <n v="50"/>
    <x v="4"/>
    <x v="0"/>
    <s v="Q2"/>
    <d v="2023-04-01T00:00:00"/>
    <s v="50+"/>
  </r>
  <r>
    <n v="451"/>
    <x v="72"/>
    <s v="CUST451"/>
    <x v="1"/>
    <n v="45"/>
    <x v="2"/>
    <n v="1"/>
    <n v="30"/>
    <n v="30"/>
    <x v="6"/>
    <x v="0"/>
    <s v="Q4"/>
    <d v="2023-12-01T00:00:00"/>
    <s v="40-49"/>
  </r>
  <r>
    <n v="452"/>
    <x v="193"/>
    <s v="CUST452"/>
    <x v="1"/>
    <n v="48"/>
    <x v="1"/>
    <n v="3"/>
    <n v="500"/>
    <n v="1500"/>
    <x v="3"/>
    <x v="0"/>
    <s v="Q2"/>
    <d v="2023-05-01T00:00:00"/>
    <s v="40-49"/>
  </r>
  <r>
    <n v="453"/>
    <x v="236"/>
    <s v="CUST453"/>
    <x v="1"/>
    <n v="26"/>
    <x v="1"/>
    <n v="2"/>
    <n v="500"/>
    <n v="1000"/>
    <x v="6"/>
    <x v="0"/>
    <s v="Q4"/>
    <d v="2023-12-01T00:00:00"/>
    <s v="20-29"/>
  </r>
  <r>
    <n v="454"/>
    <x v="7"/>
    <s v="CUST454"/>
    <x v="1"/>
    <n v="46"/>
    <x v="0"/>
    <n v="1"/>
    <n v="25"/>
    <n v="25"/>
    <x v="1"/>
    <x v="0"/>
    <s v="Q1"/>
    <d v="2023-02-01T00:00:00"/>
    <s v="40-49"/>
  </r>
  <r>
    <n v="455"/>
    <x v="68"/>
    <s v="CUST455"/>
    <x v="0"/>
    <n v="31"/>
    <x v="2"/>
    <n v="4"/>
    <n v="25"/>
    <n v="100"/>
    <x v="11"/>
    <x v="0"/>
    <s v="Q3"/>
    <d v="2023-07-01T00:00:00"/>
    <s v="30-39"/>
  </r>
  <r>
    <n v="456"/>
    <x v="257"/>
    <s v="CUST456"/>
    <x v="0"/>
    <n v="57"/>
    <x v="2"/>
    <n v="2"/>
    <n v="30"/>
    <n v="60"/>
    <x v="7"/>
    <x v="0"/>
    <s v="Q4"/>
    <d v="2023-10-01T00:00:00"/>
    <s v="50+"/>
  </r>
  <r>
    <n v="457"/>
    <x v="180"/>
    <s v="CUST457"/>
    <x v="1"/>
    <n v="58"/>
    <x v="0"/>
    <n v="3"/>
    <n v="300"/>
    <n v="900"/>
    <x v="11"/>
    <x v="0"/>
    <s v="Q3"/>
    <d v="2023-07-01T00:00:00"/>
    <s v="50+"/>
  </r>
  <r>
    <n v="458"/>
    <x v="220"/>
    <s v="CUST458"/>
    <x v="1"/>
    <n v="39"/>
    <x v="2"/>
    <n v="4"/>
    <n v="25"/>
    <n v="100"/>
    <x v="0"/>
    <x v="0"/>
    <s v="Q4"/>
    <d v="2023-11-01T00:00:00"/>
    <s v="30-39"/>
  </r>
  <r>
    <n v="459"/>
    <x v="34"/>
    <s v="CUST459"/>
    <x v="0"/>
    <n v="28"/>
    <x v="1"/>
    <n v="4"/>
    <n v="300"/>
    <n v="1200"/>
    <x v="5"/>
    <x v="0"/>
    <s v="Q1"/>
    <d v="2023-03-01T00:00:00"/>
    <s v="20-29"/>
  </r>
  <r>
    <n v="460"/>
    <x v="173"/>
    <s v="CUST460"/>
    <x v="0"/>
    <n v="40"/>
    <x v="0"/>
    <n v="1"/>
    <n v="50"/>
    <n v="50"/>
    <x v="3"/>
    <x v="0"/>
    <s v="Q2"/>
    <d v="2023-05-01T00:00:00"/>
    <s v="40-49"/>
  </r>
  <r>
    <n v="461"/>
    <x v="66"/>
    <s v="CUST461"/>
    <x v="1"/>
    <n v="18"/>
    <x v="0"/>
    <n v="2"/>
    <n v="500"/>
    <n v="1000"/>
    <x v="5"/>
    <x v="0"/>
    <s v="Q1"/>
    <d v="2023-03-01T00:00:00"/>
    <s v="Under 20"/>
  </r>
  <r>
    <n v="462"/>
    <x v="258"/>
    <s v="CUST462"/>
    <x v="0"/>
    <n v="63"/>
    <x v="2"/>
    <n v="4"/>
    <n v="300"/>
    <n v="1200"/>
    <x v="4"/>
    <x v="0"/>
    <s v="Q2"/>
    <d v="2023-04-01T00:00:00"/>
    <s v="50+"/>
  </r>
  <r>
    <n v="463"/>
    <x v="259"/>
    <s v="CUST463"/>
    <x v="1"/>
    <n v="54"/>
    <x v="0"/>
    <n v="3"/>
    <n v="500"/>
    <n v="1500"/>
    <x v="11"/>
    <x v="0"/>
    <s v="Q3"/>
    <d v="2023-07-01T00:00:00"/>
    <s v="50+"/>
  </r>
  <r>
    <n v="464"/>
    <x v="2"/>
    <s v="CUST464"/>
    <x v="0"/>
    <n v="38"/>
    <x v="2"/>
    <n v="2"/>
    <n v="300"/>
    <n v="600"/>
    <x v="2"/>
    <x v="0"/>
    <s v="Q1"/>
    <d v="2023-01-01T00:00:00"/>
    <s v="30-39"/>
  </r>
  <r>
    <n v="465"/>
    <x v="128"/>
    <s v="CUST465"/>
    <x v="1"/>
    <n v="43"/>
    <x v="2"/>
    <n v="3"/>
    <n v="50"/>
    <n v="150"/>
    <x v="4"/>
    <x v="0"/>
    <s v="Q2"/>
    <d v="2023-04-01T00:00:00"/>
    <s v="40-49"/>
  </r>
  <r>
    <n v="466"/>
    <x v="248"/>
    <s v="CUST466"/>
    <x v="0"/>
    <n v="63"/>
    <x v="2"/>
    <n v="4"/>
    <n v="25"/>
    <n v="100"/>
    <x v="10"/>
    <x v="0"/>
    <s v="Q2"/>
    <d v="2023-06-01T00:00:00"/>
    <s v="50+"/>
  </r>
  <r>
    <n v="467"/>
    <x v="184"/>
    <s v="CUST467"/>
    <x v="1"/>
    <n v="53"/>
    <x v="2"/>
    <n v="3"/>
    <n v="50"/>
    <n v="150"/>
    <x v="11"/>
    <x v="0"/>
    <s v="Q3"/>
    <d v="2023-07-01T00:00:00"/>
    <s v="50+"/>
  </r>
  <r>
    <n v="468"/>
    <x v="174"/>
    <s v="CUST468"/>
    <x v="0"/>
    <n v="40"/>
    <x v="2"/>
    <n v="1"/>
    <n v="25"/>
    <n v="25"/>
    <x v="6"/>
    <x v="0"/>
    <s v="Q4"/>
    <d v="2023-12-01T00:00:00"/>
    <s v="40-49"/>
  </r>
  <r>
    <n v="469"/>
    <x v="193"/>
    <s v="CUST469"/>
    <x v="0"/>
    <n v="18"/>
    <x v="0"/>
    <n v="3"/>
    <n v="25"/>
    <n v="75"/>
    <x v="3"/>
    <x v="0"/>
    <s v="Q2"/>
    <d v="2023-05-01T00:00:00"/>
    <s v="Under 20"/>
  </r>
  <r>
    <n v="470"/>
    <x v="71"/>
    <s v="CUST470"/>
    <x v="1"/>
    <n v="57"/>
    <x v="1"/>
    <n v="2"/>
    <n v="500"/>
    <n v="1000"/>
    <x v="3"/>
    <x v="0"/>
    <s v="Q2"/>
    <d v="2023-05-01T00:00:00"/>
    <s v="50+"/>
  </r>
  <r>
    <n v="471"/>
    <x v="31"/>
    <s v="CUST471"/>
    <x v="0"/>
    <n v="32"/>
    <x v="1"/>
    <n v="3"/>
    <n v="50"/>
    <n v="150"/>
    <x v="5"/>
    <x v="0"/>
    <s v="Q1"/>
    <d v="2023-03-01T00:00:00"/>
    <s v="30-39"/>
  </r>
  <r>
    <n v="472"/>
    <x v="24"/>
    <s v="CUST472"/>
    <x v="1"/>
    <n v="38"/>
    <x v="0"/>
    <n v="3"/>
    <n v="300"/>
    <n v="900"/>
    <x v="6"/>
    <x v="0"/>
    <s v="Q4"/>
    <d v="2023-12-01T00:00:00"/>
    <s v="30-39"/>
  </r>
  <r>
    <n v="473"/>
    <x v="192"/>
    <s v="CUST473"/>
    <x v="0"/>
    <n v="64"/>
    <x v="0"/>
    <n v="1"/>
    <n v="50"/>
    <n v="50"/>
    <x v="1"/>
    <x v="0"/>
    <s v="Q1"/>
    <d v="2023-02-01T00:00:00"/>
    <s v="50+"/>
  </r>
  <r>
    <n v="474"/>
    <x v="116"/>
    <s v="CUST474"/>
    <x v="1"/>
    <n v="26"/>
    <x v="1"/>
    <n v="3"/>
    <n v="500"/>
    <n v="1500"/>
    <x v="11"/>
    <x v="0"/>
    <s v="Q3"/>
    <d v="2023-07-01T00:00:00"/>
    <s v="20-29"/>
  </r>
  <r>
    <n v="475"/>
    <x v="260"/>
    <s v="CUST475"/>
    <x v="0"/>
    <n v="26"/>
    <x v="1"/>
    <n v="3"/>
    <n v="25"/>
    <n v="75"/>
    <x v="2"/>
    <x v="0"/>
    <s v="Q1"/>
    <d v="2023-01-01T00:00:00"/>
    <s v="20-29"/>
  </r>
  <r>
    <n v="476"/>
    <x v="261"/>
    <s v="CUST476"/>
    <x v="1"/>
    <n v="27"/>
    <x v="1"/>
    <n v="4"/>
    <n v="500"/>
    <n v="2000"/>
    <x v="8"/>
    <x v="0"/>
    <s v="Q3"/>
    <d v="2023-08-01T00:00:00"/>
    <s v="20-29"/>
  </r>
  <r>
    <n v="477"/>
    <x v="262"/>
    <s v="CUST477"/>
    <x v="0"/>
    <n v="43"/>
    <x v="1"/>
    <n v="4"/>
    <n v="30"/>
    <n v="120"/>
    <x v="4"/>
    <x v="0"/>
    <s v="Q2"/>
    <d v="2023-04-01T00:00:00"/>
    <s v="40-49"/>
  </r>
  <r>
    <n v="478"/>
    <x v="157"/>
    <s v="CUST478"/>
    <x v="1"/>
    <n v="58"/>
    <x v="1"/>
    <n v="2"/>
    <n v="30"/>
    <n v="60"/>
    <x v="4"/>
    <x v="0"/>
    <s v="Q2"/>
    <d v="2023-04-01T00:00:00"/>
    <s v="50+"/>
  </r>
  <r>
    <n v="479"/>
    <x v="44"/>
    <s v="CUST479"/>
    <x v="0"/>
    <n v="52"/>
    <x v="2"/>
    <n v="4"/>
    <n v="300"/>
    <n v="1200"/>
    <x v="8"/>
    <x v="0"/>
    <s v="Q3"/>
    <d v="2023-08-01T00:00:00"/>
    <s v="50+"/>
  </r>
  <r>
    <n v="480"/>
    <x v="263"/>
    <s v="CUST480"/>
    <x v="1"/>
    <n v="42"/>
    <x v="0"/>
    <n v="4"/>
    <n v="500"/>
    <n v="2000"/>
    <x v="10"/>
    <x v="0"/>
    <s v="Q2"/>
    <d v="2023-06-01T00:00:00"/>
    <s v="40-49"/>
  </r>
  <r>
    <n v="481"/>
    <x v="264"/>
    <s v="CUST481"/>
    <x v="1"/>
    <n v="43"/>
    <x v="2"/>
    <n v="4"/>
    <n v="300"/>
    <n v="1200"/>
    <x v="10"/>
    <x v="0"/>
    <s v="Q2"/>
    <d v="2023-06-01T00:00:00"/>
    <s v="40-49"/>
  </r>
  <r>
    <n v="482"/>
    <x v="60"/>
    <s v="CUST482"/>
    <x v="1"/>
    <n v="28"/>
    <x v="1"/>
    <n v="4"/>
    <n v="300"/>
    <n v="1200"/>
    <x v="4"/>
    <x v="0"/>
    <s v="Q2"/>
    <d v="2023-04-01T00:00:00"/>
    <s v="20-29"/>
  </r>
  <r>
    <n v="483"/>
    <x v="5"/>
    <s v="CUST483"/>
    <x v="0"/>
    <n v="55"/>
    <x v="1"/>
    <n v="1"/>
    <n v="30"/>
    <n v="30"/>
    <x v="4"/>
    <x v="0"/>
    <s v="Q2"/>
    <d v="2023-04-01T00:00:00"/>
    <s v="50+"/>
  </r>
  <r>
    <n v="484"/>
    <x v="2"/>
    <s v="CUST484"/>
    <x v="1"/>
    <n v="19"/>
    <x v="1"/>
    <n v="4"/>
    <n v="300"/>
    <n v="1200"/>
    <x v="2"/>
    <x v="0"/>
    <s v="Q1"/>
    <d v="2023-01-01T00:00:00"/>
    <s v="Under 20"/>
  </r>
  <r>
    <n v="485"/>
    <x v="151"/>
    <s v="CUST485"/>
    <x v="0"/>
    <n v="24"/>
    <x v="2"/>
    <n v="1"/>
    <n v="30"/>
    <n v="30"/>
    <x v="6"/>
    <x v="0"/>
    <s v="Q4"/>
    <d v="2023-12-01T00:00:00"/>
    <s v="20-29"/>
  </r>
  <r>
    <n v="486"/>
    <x v="55"/>
    <s v="CUST486"/>
    <x v="1"/>
    <n v="35"/>
    <x v="2"/>
    <n v="1"/>
    <n v="25"/>
    <n v="25"/>
    <x v="4"/>
    <x v="0"/>
    <s v="Q2"/>
    <d v="2023-04-01T00:00:00"/>
    <s v="30-39"/>
  </r>
  <r>
    <n v="487"/>
    <x v="104"/>
    <s v="CUST487"/>
    <x v="0"/>
    <n v="44"/>
    <x v="1"/>
    <n v="4"/>
    <n v="500"/>
    <n v="2000"/>
    <x v="11"/>
    <x v="0"/>
    <s v="Q3"/>
    <d v="2023-07-01T00:00:00"/>
    <s v="40-49"/>
  </r>
  <r>
    <n v="488"/>
    <x v="265"/>
    <s v="CUST488"/>
    <x v="1"/>
    <n v="51"/>
    <x v="2"/>
    <n v="3"/>
    <n v="300"/>
    <n v="900"/>
    <x v="10"/>
    <x v="0"/>
    <s v="Q2"/>
    <d v="2023-06-01T00:00:00"/>
    <s v="50+"/>
  </r>
  <r>
    <n v="489"/>
    <x v="29"/>
    <s v="CUST489"/>
    <x v="0"/>
    <n v="44"/>
    <x v="2"/>
    <n v="1"/>
    <n v="30"/>
    <n v="30"/>
    <x v="3"/>
    <x v="0"/>
    <s v="Q2"/>
    <d v="2023-05-01T00:00:00"/>
    <s v="40-49"/>
  </r>
  <r>
    <n v="490"/>
    <x v="57"/>
    <s v="CUST490"/>
    <x v="0"/>
    <n v="34"/>
    <x v="1"/>
    <n v="3"/>
    <n v="50"/>
    <n v="150"/>
    <x v="1"/>
    <x v="0"/>
    <s v="Q1"/>
    <d v="2023-02-01T00:00:00"/>
    <s v="30-39"/>
  </r>
  <r>
    <n v="491"/>
    <x v="29"/>
    <s v="CUST491"/>
    <x v="1"/>
    <n v="60"/>
    <x v="2"/>
    <n v="3"/>
    <n v="300"/>
    <n v="900"/>
    <x v="3"/>
    <x v="0"/>
    <s v="Q2"/>
    <d v="2023-05-01T00:00:00"/>
    <s v="50+"/>
  </r>
  <r>
    <n v="492"/>
    <x v="263"/>
    <s v="CUST492"/>
    <x v="0"/>
    <n v="61"/>
    <x v="0"/>
    <n v="4"/>
    <n v="25"/>
    <n v="100"/>
    <x v="10"/>
    <x v="0"/>
    <s v="Q2"/>
    <d v="2023-06-01T00:00:00"/>
    <s v="50+"/>
  </r>
  <r>
    <n v="493"/>
    <x v="123"/>
    <s v="CUST493"/>
    <x v="0"/>
    <n v="41"/>
    <x v="0"/>
    <n v="2"/>
    <n v="25"/>
    <n v="50"/>
    <x v="0"/>
    <x v="0"/>
    <s v="Q4"/>
    <d v="2023-11-01T00:00:00"/>
    <s v="40-49"/>
  </r>
  <r>
    <n v="494"/>
    <x v="106"/>
    <s v="CUST494"/>
    <x v="1"/>
    <n v="42"/>
    <x v="0"/>
    <n v="4"/>
    <n v="50"/>
    <n v="200"/>
    <x v="9"/>
    <x v="0"/>
    <s v="Q3"/>
    <d v="2023-09-01T00:00:00"/>
    <s v="40-49"/>
  </r>
  <r>
    <n v="495"/>
    <x v="104"/>
    <s v="CUST495"/>
    <x v="0"/>
    <n v="24"/>
    <x v="0"/>
    <n v="2"/>
    <n v="30"/>
    <n v="60"/>
    <x v="11"/>
    <x v="0"/>
    <s v="Q3"/>
    <d v="2023-07-01T00:00:00"/>
    <s v="20-29"/>
  </r>
  <r>
    <n v="496"/>
    <x v="266"/>
    <s v="CUST496"/>
    <x v="0"/>
    <n v="23"/>
    <x v="1"/>
    <n v="2"/>
    <n v="300"/>
    <n v="600"/>
    <x v="6"/>
    <x v="0"/>
    <s v="Q4"/>
    <d v="2023-12-01T00:00:00"/>
    <s v="20-29"/>
  </r>
  <r>
    <n v="497"/>
    <x v="45"/>
    <s v="CUST497"/>
    <x v="0"/>
    <n v="41"/>
    <x v="1"/>
    <n v="4"/>
    <n v="30"/>
    <n v="120"/>
    <x v="7"/>
    <x v="0"/>
    <s v="Q4"/>
    <d v="2023-10-01T00:00:00"/>
    <s v="40-49"/>
  </r>
  <r>
    <n v="498"/>
    <x v="171"/>
    <s v="CUST498"/>
    <x v="1"/>
    <n v="50"/>
    <x v="1"/>
    <n v="4"/>
    <n v="25"/>
    <n v="100"/>
    <x v="10"/>
    <x v="0"/>
    <s v="Q2"/>
    <d v="2023-06-01T00:00:00"/>
    <s v="50+"/>
  </r>
  <r>
    <n v="499"/>
    <x v="267"/>
    <s v="CUST499"/>
    <x v="0"/>
    <n v="46"/>
    <x v="0"/>
    <n v="2"/>
    <n v="30"/>
    <n v="60"/>
    <x v="2"/>
    <x v="0"/>
    <s v="Q1"/>
    <d v="2023-01-01T00:00:00"/>
    <s v="40-49"/>
  </r>
  <r>
    <n v="500"/>
    <x v="240"/>
    <s v="CUST500"/>
    <x v="1"/>
    <n v="60"/>
    <x v="0"/>
    <n v="4"/>
    <n v="25"/>
    <n v="100"/>
    <x v="5"/>
    <x v="0"/>
    <s v="Q1"/>
    <d v="2023-03-01T00:00:00"/>
    <s v="50+"/>
  </r>
  <r>
    <n v="501"/>
    <x v="224"/>
    <s v="CUST501"/>
    <x v="0"/>
    <n v="39"/>
    <x v="2"/>
    <n v="2"/>
    <n v="30"/>
    <n v="60"/>
    <x v="3"/>
    <x v="0"/>
    <s v="Q2"/>
    <d v="2023-05-01T00:00:00"/>
    <s v="30-39"/>
  </r>
  <r>
    <n v="502"/>
    <x v="128"/>
    <s v="CUST502"/>
    <x v="0"/>
    <n v="43"/>
    <x v="2"/>
    <n v="3"/>
    <n v="50"/>
    <n v="150"/>
    <x v="4"/>
    <x v="0"/>
    <s v="Q2"/>
    <d v="2023-04-01T00:00:00"/>
    <s v="40-49"/>
  </r>
  <r>
    <n v="503"/>
    <x v="268"/>
    <s v="CUST503"/>
    <x v="0"/>
    <n v="45"/>
    <x v="0"/>
    <n v="4"/>
    <n v="500"/>
    <n v="2000"/>
    <x v="7"/>
    <x v="0"/>
    <s v="Q4"/>
    <d v="2023-10-01T00:00:00"/>
    <s v="40-49"/>
  </r>
  <r>
    <n v="504"/>
    <x v="42"/>
    <s v="CUST504"/>
    <x v="1"/>
    <n v="38"/>
    <x v="0"/>
    <n v="3"/>
    <n v="50"/>
    <n v="150"/>
    <x v="3"/>
    <x v="0"/>
    <s v="Q2"/>
    <d v="2023-05-01T00:00:00"/>
    <s v="30-39"/>
  </r>
  <r>
    <n v="505"/>
    <x v="260"/>
    <s v="CUST505"/>
    <x v="0"/>
    <n v="24"/>
    <x v="0"/>
    <n v="1"/>
    <n v="50"/>
    <n v="50"/>
    <x v="2"/>
    <x v="0"/>
    <s v="Q1"/>
    <d v="2023-01-01T00:00:00"/>
    <s v="20-29"/>
  </r>
  <r>
    <n v="506"/>
    <x v="192"/>
    <s v="CUST506"/>
    <x v="0"/>
    <n v="34"/>
    <x v="0"/>
    <n v="3"/>
    <n v="500"/>
    <n v="1500"/>
    <x v="1"/>
    <x v="0"/>
    <s v="Q1"/>
    <d v="2023-02-01T00:00:00"/>
    <s v="30-39"/>
  </r>
  <r>
    <n v="507"/>
    <x v="113"/>
    <s v="CUST507"/>
    <x v="1"/>
    <n v="37"/>
    <x v="2"/>
    <n v="3"/>
    <n v="500"/>
    <n v="1500"/>
    <x v="0"/>
    <x v="0"/>
    <s v="Q4"/>
    <d v="2023-11-01T00:00:00"/>
    <s v="30-39"/>
  </r>
  <r>
    <n v="508"/>
    <x v="124"/>
    <s v="CUST508"/>
    <x v="0"/>
    <n v="58"/>
    <x v="0"/>
    <n v="2"/>
    <n v="300"/>
    <n v="600"/>
    <x v="8"/>
    <x v="0"/>
    <s v="Q3"/>
    <d v="2023-08-01T00:00:00"/>
    <s v="50+"/>
  </r>
  <r>
    <n v="509"/>
    <x v="40"/>
    <s v="CUST509"/>
    <x v="1"/>
    <n v="37"/>
    <x v="2"/>
    <n v="3"/>
    <n v="300"/>
    <n v="900"/>
    <x v="10"/>
    <x v="0"/>
    <s v="Q2"/>
    <d v="2023-06-01T00:00:00"/>
    <s v="30-39"/>
  </r>
  <r>
    <n v="510"/>
    <x v="210"/>
    <s v="CUST510"/>
    <x v="1"/>
    <n v="39"/>
    <x v="0"/>
    <n v="4"/>
    <n v="50"/>
    <n v="200"/>
    <x v="10"/>
    <x v="0"/>
    <s v="Q2"/>
    <d v="2023-06-01T00:00:00"/>
    <s v="30-39"/>
  </r>
  <r>
    <n v="511"/>
    <x v="269"/>
    <s v="CUST511"/>
    <x v="0"/>
    <n v="45"/>
    <x v="0"/>
    <n v="2"/>
    <n v="50"/>
    <n v="100"/>
    <x v="8"/>
    <x v="0"/>
    <s v="Q3"/>
    <d v="2023-08-01T00:00:00"/>
    <s v="40-49"/>
  </r>
  <r>
    <n v="512"/>
    <x v="155"/>
    <s v="CUST512"/>
    <x v="1"/>
    <n v="57"/>
    <x v="0"/>
    <n v="1"/>
    <n v="25"/>
    <n v="25"/>
    <x v="0"/>
    <x v="0"/>
    <s v="Q4"/>
    <d v="2023-11-01T00:00:00"/>
    <s v="50+"/>
  </r>
  <r>
    <n v="513"/>
    <x v="270"/>
    <s v="CUST513"/>
    <x v="0"/>
    <n v="24"/>
    <x v="2"/>
    <n v="4"/>
    <n v="25"/>
    <n v="100"/>
    <x v="9"/>
    <x v="0"/>
    <s v="Q3"/>
    <d v="2023-09-01T00:00:00"/>
    <s v="20-29"/>
  </r>
  <r>
    <n v="514"/>
    <x v="240"/>
    <s v="CUST514"/>
    <x v="1"/>
    <n v="18"/>
    <x v="2"/>
    <n v="1"/>
    <n v="300"/>
    <n v="300"/>
    <x v="5"/>
    <x v="0"/>
    <s v="Q1"/>
    <d v="2023-03-01T00:00:00"/>
    <s v="Under 20"/>
  </r>
  <r>
    <n v="515"/>
    <x v="115"/>
    <s v="CUST515"/>
    <x v="1"/>
    <n v="49"/>
    <x v="1"/>
    <n v="3"/>
    <n v="300"/>
    <n v="900"/>
    <x v="11"/>
    <x v="0"/>
    <s v="Q3"/>
    <d v="2023-07-01T00:00:00"/>
    <s v="40-49"/>
  </r>
  <r>
    <n v="516"/>
    <x v="54"/>
    <s v="CUST516"/>
    <x v="0"/>
    <n v="30"/>
    <x v="0"/>
    <n v="4"/>
    <n v="25"/>
    <n v="100"/>
    <x v="7"/>
    <x v="0"/>
    <s v="Q4"/>
    <d v="2023-10-01T00:00:00"/>
    <s v="30-39"/>
  </r>
  <r>
    <n v="517"/>
    <x v="181"/>
    <s v="CUST517"/>
    <x v="1"/>
    <n v="47"/>
    <x v="1"/>
    <n v="4"/>
    <n v="25"/>
    <n v="100"/>
    <x v="4"/>
    <x v="0"/>
    <s v="Q2"/>
    <d v="2023-04-01T00:00:00"/>
    <s v="40-49"/>
  </r>
  <r>
    <n v="518"/>
    <x v="271"/>
    <s v="CUST518"/>
    <x v="1"/>
    <n v="40"/>
    <x v="1"/>
    <n v="1"/>
    <n v="30"/>
    <n v="30"/>
    <x v="3"/>
    <x v="0"/>
    <s v="Q2"/>
    <d v="2023-05-01T00:00:00"/>
    <s v="40-49"/>
  </r>
  <r>
    <n v="519"/>
    <x v="43"/>
    <s v="CUST519"/>
    <x v="1"/>
    <n v="36"/>
    <x v="2"/>
    <n v="4"/>
    <n v="30"/>
    <n v="120"/>
    <x v="2"/>
    <x v="0"/>
    <s v="Q1"/>
    <d v="2023-01-01T00:00:00"/>
    <s v="30-39"/>
  </r>
  <r>
    <n v="520"/>
    <x v="167"/>
    <s v="CUST520"/>
    <x v="1"/>
    <n v="49"/>
    <x v="2"/>
    <n v="4"/>
    <n v="25"/>
    <n v="100"/>
    <x v="6"/>
    <x v="0"/>
    <s v="Q4"/>
    <d v="2023-12-01T00:00:00"/>
    <s v="40-49"/>
  </r>
  <r>
    <n v="521"/>
    <x v="269"/>
    <s v="CUST521"/>
    <x v="1"/>
    <n v="47"/>
    <x v="1"/>
    <n v="4"/>
    <n v="30"/>
    <n v="120"/>
    <x v="8"/>
    <x v="0"/>
    <s v="Q3"/>
    <d v="2023-08-01T00:00:00"/>
    <s v="40-49"/>
  </r>
  <r>
    <n v="522"/>
    <x v="137"/>
    <s v="CUST522"/>
    <x v="0"/>
    <n v="46"/>
    <x v="0"/>
    <n v="3"/>
    <n v="500"/>
    <n v="1500"/>
    <x v="2"/>
    <x v="0"/>
    <s v="Q1"/>
    <d v="2023-01-01T00:00:00"/>
    <s v="40-49"/>
  </r>
  <r>
    <n v="523"/>
    <x v="272"/>
    <s v="CUST523"/>
    <x v="1"/>
    <n v="62"/>
    <x v="2"/>
    <n v="1"/>
    <n v="300"/>
    <n v="300"/>
    <x v="9"/>
    <x v="0"/>
    <s v="Q3"/>
    <d v="2023-09-01T00:00:00"/>
    <s v="50+"/>
  </r>
  <r>
    <n v="524"/>
    <x v="99"/>
    <s v="CUST524"/>
    <x v="0"/>
    <n v="46"/>
    <x v="0"/>
    <n v="4"/>
    <n v="300"/>
    <n v="1200"/>
    <x v="7"/>
    <x v="0"/>
    <s v="Q4"/>
    <d v="2023-10-01T00:00:00"/>
    <s v="40-49"/>
  </r>
  <r>
    <n v="525"/>
    <x v="244"/>
    <s v="CUST525"/>
    <x v="1"/>
    <n v="47"/>
    <x v="0"/>
    <n v="2"/>
    <n v="25"/>
    <n v="50"/>
    <x v="6"/>
    <x v="0"/>
    <s v="Q4"/>
    <d v="2023-12-01T00:00:00"/>
    <s v="40-49"/>
  </r>
  <r>
    <n v="526"/>
    <x v="70"/>
    <s v="CUST526"/>
    <x v="0"/>
    <n v="33"/>
    <x v="1"/>
    <n v="2"/>
    <n v="50"/>
    <n v="100"/>
    <x v="6"/>
    <x v="0"/>
    <s v="Q4"/>
    <d v="2023-12-01T00:00:00"/>
    <s v="30-39"/>
  </r>
  <r>
    <n v="527"/>
    <x v="273"/>
    <s v="CUST527"/>
    <x v="0"/>
    <n v="57"/>
    <x v="1"/>
    <n v="2"/>
    <n v="25"/>
    <n v="50"/>
    <x v="4"/>
    <x v="0"/>
    <s v="Q2"/>
    <d v="2023-04-01T00:00:00"/>
    <s v="50+"/>
  </r>
  <r>
    <n v="528"/>
    <x v="65"/>
    <s v="CUST528"/>
    <x v="1"/>
    <n v="36"/>
    <x v="1"/>
    <n v="2"/>
    <n v="30"/>
    <n v="60"/>
    <x v="11"/>
    <x v="0"/>
    <s v="Q3"/>
    <d v="2023-07-01T00:00:00"/>
    <s v="30-39"/>
  </r>
  <r>
    <n v="529"/>
    <x v="183"/>
    <s v="CUST529"/>
    <x v="1"/>
    <n v="35"/>
    <x v="1"/>
    <n v="3"/>
    <n v="50"/>
    <n v="150"/>
    <x v="8"/>
    <x v="0"/>
    <s v="Q3"/>
    <d v="2023-08-01T00:00:00"/>
    <s v="30-39"/>
  </r>
  <r>
    <n v="530"/>
    <x v="57"/>
    <s v="CUST530"/>
    <x v="1"/>
    <n v="18"/>
    <x v="2"/>
    <n v="4"/>
    <n v="30"/>
    <n v="120"/>
    <x v="1"/>
    <x v="0"/>
    <s v="Q1"/>
    <d v="2023-02-01T00:00:00"/>
    <s v="Under 20"/>
  </r>
  <r>
    <n v="531"/>
    <x v="274"/>
    <s v="CUST531"/>
    <x v="0"/>
    <n v="31"/>
    <x v="2"/>
    <n v="1"/>
    <n v="500"/>
    <n v="500"/>
    <x v="6"/>
    <x v="0"/>
    <s v="Q4"/>
    <d v="2023-12-01T00:00:00"/>
    <s v="30-39"/>
  </r>
  <r>
    <n v="532"/>
    <x v="171"/>
    <s v="CUST532"/>
    <x v="1"/>
    <n v="64"/>
    <x v="1"/>
    <n v="4"/>
    <n v="30"/>
    <n v="120"/>
    <x v="10"/>
    <x v="0"/>
    <s v="Q2"/>
    <d v="2023-06-01T00:00:00"/>
    <s v="50+"/>
  </r>
  <r>
    <n v="533"/>
    <x v="275"/>
    <s v="CUST533"/>
    <x v="0"/>
    <n v="19"/>
    <x v="2"/>
    <n v="3"/>
    <n v="500"/>
    <n v="1500"/>
    <x v="0"/>
    <x v="0"/>
    <s v="Q4"/>
    <d v="2023-11-01T00:00:00"/>
    <s v="Under 20"/>
  </r>
  <r>
    <n v="534"/>
    <x v="210"/>
    <s v="CUST534"/>
    <x v="0"/>
    <n v="45"/>
    <x v="1"/>
    <n v="2"/>
    <n v="500"/>
    <n v="1000"/>
    <x v="10"/>
    <x v="0"/>
    <s v="Q2"/>
    <d v="2023-06-01T00:00:00"/>
    <s v="40-49"/>
  </r>
  <r>
    <n v="535"/>
    <x v="237"/>
    <s v="CUST535"/>
    <x v="0"/>
    <n v="47"/>
    <x v="0"/>
    <n v="3"/>
    <n v="30"/>
    <n v="90"/>
    <x v="6"/>
    <x v="0"/>
    <s v="Q4"/>
    <d v="2023-12-01T00:00:00"/>
    <s v="40-49"/>
  </r>
  <r>
    <n v="536"/>
    <x v="46"/>
    <s v="CUST536"/>
    <x v="1"/>
    <n v="55"/>
    <x v="0"/>
    <n v="4"/>
    <n v="30"/>
    <n v="120"/>
    <x v="5"/>
    <x v="0"/>
    <s v="Q1"/>
    <d v="2023-03-01T00:00:00"/>
    <s v="50+"/>
  </r>
  <r>
    <n v="537"/>
    <x v="226"/>
    <s v="CUST537"/>
    <x v="1"/>
    <n v="21"/>
    <x v="0"/>
    <n v="1"/>
    <n v="500"/>
    <n v="500"/>
    <x v="10"/>
    <x v="0"/>
    <s v="Q2"/>
    <d v="2023-06-01T00:00:00"/>
    <s v="20-29"/>
  </r>
  <r>
    <n v="538"/>
    <x v="129"/>
    <s v="CUST538"/>
    <x v="0"/>
    <n v="18"/>
    <x v="1"/>
    <n v="3"/>
    <n v="50"/>
    <n v="150"/>
    <x v="9"/>
    <x v="0"/>
    <s v="Q3"/>
    <d v="2023-09-01T00:00:00"/>
    <s v="Under 20"/>
  </r>
  <r>
    <n v="539"/>
    <x v="276"/>
    <s v="CUST539"/>
    <x v="0"/>
    <n v="25"/>
    <x v="0"/>
    <n v="1"/>
    <n v="500"/>
    <n v="500"/>
    <x v="10"/>
    <x v="0"/>
    <s v="Q2"/>
    <d v="2023-06-01T00:00:00"/>
    <s v="20-29"/>
  </r>
  <r>
    <n v="540"/>
    <x v="236"/>
    <s v="CUST540"/>
    <x v="1"/>
    <n v="46"/>
    <x v="2"/>
    <n v="3"/>
    <n v="300"/>
    <n v="900"/>
    <x v="6"/>
    <x v="0"/>
    <s v="Q4"/>
    <d v="2023-12-01T00:00:00"/>
    <s v="40-49"/>
  </r>
  <r>
    <n v="541"/>
    <x v="277"/>
    <s v="CUST541"/>
    <x v="0"/>
    <n v="56"/>
    <x v="0"/>
    <n v="1"/>
    <n v="500"/>
    <n v="500"/>
    <x v="11"/>
    <x v="0"/>
    <s v="Q3"/>
    <d v="2023-07-01T00:00:00"/>
    <s v="50+"/>
  </r>
  <r>
    <n v="542"/>
    <x v="278"/>
    <s v="CUST542"/>
    <x v="1"/>
    <n v="20"/>
    <x v="0"/>
    <n v="1"/>
    <n v="50"/>
    <n v="50"/>
    <x v="10"/>
    <x v="0"/>
    <s v="Q2"/>
    <d v="2023-06-01T00:00:00"/>
    <s v="20-29"/>
  </r>
  <r>
    <n v="543"/>
    <x v="191"/>
    <s v="CUST543"/>
    <x v="0"/>
    <n v="49"/>
    <x v="0"/>
    <n v="2"/>
    <n v="300"/>
    <n v="600"/>
    <x v="11"/>
    <x v="0"/>
    <s v="Q3"/>
    <d v="2023-07-01T00:00:00"/>
    <s v="40-49"/>
  </r>
  <r>
    <n v="544"/>
    <x v="204"/>
    <s v="CUST544"/>
    <x v="1"/>
    <n v="27"/>
    <x v="2"/>
    <n v="1"/>
    <n v="25"/>
    <n v="25"/>
    <x v="6"/>
    <x v="0"/>
    <s v="Q4"/>
    <d v="2023-12-01T00:00:00"/>
    <s v="20-29"/>
  </r>
  <r>
    <n v="545"/>
    <x v="207"/>
    <s v="CUST545"/>
    <x v="0"/>
    <n v="27"/>
    <x v="1"/>
    <n v="2"/>
    <n v="25"/>
    <n v="50"/>
    <x v="10"/>
    <x v="0"/>
    <s v="Q2"/>
    <d v="2023-06-01T00:00:00"/>
    <s v="20-29"/>
  </r>
  <r>
    <n v="546"/>
    <x v="120"/>
    <s v="CUST546"/>
    <x v="1"/>
    <n v="36"/>
    <x v="2"/>
    <n v="4"/>
    <n v="50"/>
    <n v="200"/>
    <x v="7"/>
    <x v="0"/>
    <s v="Q4"/>
    <d v="2023-10-01T00:00:00"/>
    <s v="30-39"/>
  </r>
  <r>
    <n v="547"/>
    <x v="150"/>
    <s v="CUST547"/>
    <x v="0"/>
    <n v="63"/>
    <x v="1"/>
    <n v="4"/>
    <n v="500"/>
    <n v="2000"/>
    <x v="5"/>
    <x v="0"/>
    <s v="Q1"/>
    <d v="2023-03-01T00:00:00"/>
    <s v="50+"/>
  </r>
  <r>
    <n v="548"/>
    <x v="55"/>
    <s v="CUST548"/>
    <x v="1"/>
    <n v="51"/>
    <x v="1"/>
    <n v="2"/>
    <n v="30"/>
    <n v="60"/>
    <x v="4"/>
    <x v="0"/>
    <s v="Q2"/>
    <d v="2023-04-01T00:00:00"/>
    <s v="50+"/>
  </r>
  <r>
    <n v="549"/>
    <x v="279"/>
    <s v="CUST549"/>
    <x v="1"/>
    <n v="50"/>
    <x v="0"/>
    <n v="2"/>
    <n v="50"/>
    <n v="100"/>
    <x v="8"/>
    <x v="0"/>
    <s v="Q3"/>
    <d v="2023-08-01T00:00:00"/>
    <s v="50+"/>
  </r>
  <r>
    <n v="550"/>
    <x v="274"/>
    <s v="CUST550"/>
    <x v="0"/>
    <n v="40"/>
    <x v="1"/>
    <n v="3"/>
    <n v="300"/>
    <n v="900"/>
    <x v="6"/>
    <x v="0"/>
    <s v="Q4"/>
    <d v="2023-12-01T00:00:00"/>
    <s v="40-49"/>
  </r>
  <r>
    <n v="551"/>
    <x v="37"/>
    <s v="CUST551"/>
    <x v="0"/>
    <n v="45"/>
    <x v="2"/>
    <n v="3"/>
    <n v="300"/>
    <n v="900"/>
    <x v="11"/>
    <x v="0"/>
    <s v="Q3"/>
    <d v="2023-07-01T00:00:00"/>
    <s v="40-49"/>
  </r>
  <r>
    <n v="552"/>
    <x v="8"/>
    <s v="CUST552"/>
    <x v="1"/>
    <n v="49"/>
    <x v="2"/>
    <n v="3"/>
    <n v="25"/>
    <n v="75"/>
    <x v="6"/>
    <x v="0"/>
    <s v="Q4"/>
    <d v="2023-12-01T00:00:00"/>
    <s v="40-49"/>
  </r>
  <r>
    <n v="553"/>
    <x v="280"/>
    <s v="CUST553"/>
    <x v="0"/>
    <n v="24"/>
    <x v="1"/>
    <n v="4"/>
    <n v="300"/>
    <n v="1200"/>
    <x v="5"/>
    <x v="0"/>
    <s v="Q1"/>
    <d v="2023-03-01T00:00:00"/>
    <s v="20-29"/>
  </r>
  <r>
    <n v="554"/>
    <x v="281"/>
    <s v="CUST554"/>
    <x v="1"/>
    <n v="46"/>
    <x v="0"/>
    <n v="3"/>
    <n v="50"/>
    <n v="150"/>
    <x v="0"/>
    <x v="0"/>
    <s v="Q4"/>
    <d v="2023-11-01T00:00:00"/>
    <s v="40-49"/>
  </r>
  <r>
    <n v="555"/>
    <x v="218"/>
    <s v="CUST555"/>
    <x v="0"/>
    <n v="25"/>
    <x v="0"/>
    <n v="1"/>
    <n v="300"/>
    <n v="300"/>
    <x v="7"/>
    <x v="0"/>
    <s v="Q4"/>
    <d v="2023-10-01T00:00:00"/>
    <s v="20-29"/>
  </r>
  <r>
    <n v="556"/>
    <x v="234"/>
    <s v="CUST556"/>
    <x v="1"/>
    <n v="18"/>
    <x v="2"/>
    <n v="1"/>
    <n v="50"/>
    <n v="50"/>
    <x v="10"/>
    <x v="0"/>
    <s v="Q2"/>
    <d v="2023-06-01T00:00:00"/>
    <s v="Under 20"/>
  </r>
  <r>
    <n v="557"/>
    <x v="282"/>
    <s v="CUST557"/>
    <x v="1"/>
    <n v="20"/>
    <x v="0"/>
    <n v="3"/>
    <n v="30"/>
    <n v="90"/>
    <x v="11"/>
    <x v="0"/>
    <s v="Q3"/>
    <d v="2023-07-01T00:00:00"/>
    <s v="20-29"/>
  </r>
  <r>
    <n v="558"/>
    <x v="283"/>
    <s v="CUST558"/>
    <x v="1"/>
    <n v="41"/>
    <x v="1"/>
    <n v="1"/>
    <n v="25"/>
    <n v="25"/>
    <x v="7"/>
    <x v="0"/>
    <s v="Q4"/>
    <d v="2023-10-01T00:00:00"/>
    <s v="40-49"/>
  </r>
  <r>
    <n v="559"/>
    <x v="137"/>
    <s v="CUST559"/>
    <x v="1"/>
    <n v="40"/>
    <x v="1"/>
    <n v="4"/>
    <n v="300"/>
    <n v="1200"/>
    <x v="2"/>
    <x v="0"/>
    <s v="Q1"/>
    <d v="2023-01-01T00:00:00"/>
    <s v="40-49"/>
  </r>
  <r>
    <n v="560"/>
    <x v="284"/>
    <s v="CUST560"/>
    <x v="1"/>
    <n v="25"/>
    <x v="2"/>
    <n v="1"/>
    <n v="50"/>
    <n v="50"/>
    <x v="10"/>
    <x v="0"/>
    <s v="Q2"/>
    <d v="2023-06-01T00:00:00"/>
    <s v="20-29"/>
  </r>
  <r>
    <n v="561"/>
    <x v="203"/>
    <s v="CUST561"/>
    <x v="1"/>
    <n v="64"/>
    <x v="1"/>
    <n v="4"/>
    <n v="500"/>
    <n v="2000"/>
    <x v="3"/>
    <x v="0"/>
    <s v="Q2"/>
    <d v="2023-05-01T00:00:00"/>
    <s v="50+"/>
  </r>
  <r>
    <n v="562"/>
    <x v="69"/>
    <s v="CUST562"/>
    <x v="0"/>
    <n v="54"/>
    <x v="2"/>
    <n v="2"/>
    <n v="25"/>
    <n v="50"/>
    <x v="4"/>
    <x v="0"/>
    <s v="Q2"/>
    <d v="2023-04-01T00:00:00"/>
    <s v="50+"/>
  </r>
  <r>
    <n v="563"/>
    <x v="183"/>
    <s v="CUST563"/>
    <x v="0"/>
    <n v="20"/>
    <x v="1"/>
    <n v="2"/>
    <n v="30"/>
    <n v="60"/>
    <x v="8"/>
    <x v="0"/>
    <s v="Q3"/>
    <d v="2023-08-01T00:00:00"/>
    <s v="20-29"/>
  </r>
  <r>
    <n v="564"/>
    <x v="208"/>
    <s v="CUST564"/>
    <x v="0"/>
    <n v="50"/>
    <x v="2"/>
    <n v="2"/>
    <n v="50"/>
    <n v="100"/>
    <x v="7"/>
    <x v="0"/>
    <s v="Q4"/>
    <d v="2023-10-01T00:00:00"/>
    <s v="50+"/>
  </r>
  <r>
    <n v="565"/>
    <x v="155"/>
    <s v="CUST565"/>
    <x v="1"/>
    <n v="45"/>
    <x v="0"/>
    <n v="2"/>
    <n v="30"/>
    <n v="60"/>
    <x v="0"/>
    <x v="0"/>
    <s v="Q4"/>
    <d v="2023-11-01T00:00:00"/>
    <s v="40-49"/>
  </r>
  <r>
    <n v="566"/>
    <x v="92"/>
    <s v="CUST566"/>
    <x v="1"/>
    <n v="64"/>
    <x v="1"/>
    <n v="1"/>
    <n v="30"/>
    <n v="30"/>
    <x v="6"/>
    <x v="0"/>
    <s v="Q4"/>
    <d v="2023-12-01T00:00:00"/>
    <s v="50+"/>
  </r>
  <r>
    <n v="567"/>
    <x v="285"/>
    <s v="CUST567"/>
    <x v="1"/>
    <n v="25"/>
    <x v="1"/>
    <n v="3"/>
    <n v="300"/>
    <n v="900"/>
    <x v="10"/>
    <x v="0"/>
    <s v="Q2"/>
    <d v="2023-06-01T00:00:00"/>
    <s v="20-29"/>
  </r>
  <r>
    <n v="568"/>
    <x v="286"/>
    <s v="CUST568"/>
    <x v="1"/>
    <n v="51"/>
    <x v="2"/>
    <n v="1"/>
    <n v="300"/>
    <n v="300"/>
    <x v="8"/>
    <x v="0"/>
    <s v="Q3"/>
    <d v="2023-08-01T00:00:00"/>
    <s v="50+"/>
  </r>
  <r>
    <n v="569"/>
    <x v="196"/>
    <s v="CUST569"/>
    <x v="0"/>
    <n v="52"/>
    <x v="2"/>
    <n v="4"/>
    <n v="50"/>
    <n v="200"/>
    <x v="8"/>
    <x v="0"/>
    <s v="Q3"/>
    <d v="2023-08-01T00:00:00"/>
    <s v="50+"/>
  </r>
  <r>
    <n v="570"/>
    <x v="196"/>
    <s v="CUST570"/>
    <x v="0"/>
    <n v="49"/>
    <x v="1"/>
    <n v="1"/>
    <n v="500"/>
    <n v="500"/>
    <x v="8"/>
    <x v="0"/>
    <s v="Q3"/>
    <d v="2023-08-01T00:00:00"/>
    <s v="40-49"/>
  </r>
  <r>
    <n v="571"/>
    <x v="216"/>
    <s v="CUST571"/>
    <x v="1"/>
    <n v="41"/>
    <x v="2"/>
    <n v="1"/>
    <n v="50"/>
    <n v="50"/>
    <x v="6"/>
    <x v="0"/>
    <s v="Q4"/>
    <d v="2023-12-01T00:00:00"/>
    <s v="40-49"/>
  </r>
  <r>
    <n v="572"/>
    <x v="175"/>
    <s v="CUST572"/>
    <x v="0"/>
    <n v="31"/>
    <x v="1"/>
    <n v="4"/>
    <n v="500"/>
    <n v="2000"/>
    <x v="4"/>
    <x v="0"/>
    <s v="Q2"/>
    <d v="2023-04-01T00:00:00"/>
    <s v="30-39"/>
  </r>
  <r>
    <n v="573"/>
    <x v="270"/>
    <s v="CUST573"/>
    <x v="0"/>
    <n v="49"/>
    <x v="0"/>
    <n v="2"/>
    <n v="30"/>
    <n v="60"/>
    <x v="9"/>
    <x v="0"/>
    <s v="Q3"/>
    <d v="2023-09-01T00:00:00"/>
    <s v="40-49"/>
  </r>
  <r>
    <n v="574"/>
    <x v="178"/>
    <s v="CUST574"/>
    <x v="1"/>
    <n v="63"/>
    <x v="2"/>
    <n v="2"/>
    <n v="25"/>
    <n v="50"/>
    <x v="8"/>
    <x v="0"/>
    <s v="Q3"/>
    <d v="2023-08-01T00:00:00"/>
    <s v="50+"/>
  </r>
  <r>
    <n v="575"/>
    <x v="287"/>
    <s v="CUST575"/>
    <x v="0"/>
    <n v="60"/>
    <x v="1"/>
    <n v="2"/>
    <n v="50"/>
    <n v="100"/>
    <x v="5"/>
    <x v="0"/>
    <s v="Q1"/>
    <d v="2023-03-01T00:00:00"/>
    <s v="50+"/>
  </r>
  <r>
    <n v="576"/>
    <x v="151"/>
    <s v="CUST576"/>
    <x v="1"/>
    <n v="33"/>
    <x v="0"/>
    <n v="3"/>
    <n v="50"/>
    <n v="150"/>
    <x v="6"/>
    <x v="0"/>
    <s v="Q4"/>
    <d v="2023-12-01T00:00:00"/>
    <s v="30-39"/>
  </r>
  <r>
    <n v="577"/>
    <x v="146"/>
    <s v="CUST577"/>
    <x v="0"/>
    <n v="21"/>
    <x v="0"/>
    <n v="4"/>
    <n v="500"/>
    <n v="2000"/>
    <x v="1"/>
    <x v="0"/>
    <s v="Q1"/>
    <d v="2023-02-01T00:00:00"/>
    <s v="20-29"/>
  </r>
  <r>
    <n v="578"/>
    <x v="232"/>
    <s v="CUST578"/>
    <x v="1"/>
    <n v="54"/>
    <x v="1"/>
    <n v="4"/>
    <n v="30"/>
    <n v="120"/>
    <x v="3"/>
    <x v="0"/>
    <s v="Q2"/>
    <d v="2023-05-01T00:00:00"/>
    <s v="50+"/>
  </r>
  <r>
    <n v="579"/>
    <x v="172"/>
    <s v="CUST579"/>
    <x v="1"/>
    <n v="38"/>
    <x v="2"/>
    <n v="1"/>
    <n v="30"/>
    <n v="30"/>
    <x v="9"/>
    <x v="0"/>
    <s v="Q3"/>
    <d v="2023-09-01T00:00:00"/>
    <s v="30-39"/>
  </r>
  <r>
    <n v="580"/>
    <x v="237"/>
    <s v="CUST580"/>
    <x v="1"/>
    <n v="31"/>
    <x v="1"/>
    <n v="3"/>
    <n v="500"/>
    <n v="1500"/>
    <x v="6"/>
    <x v="0"/>
    <s v="Q4"/>
    <d v="2023-12-01T00:00:00"/>
    <s v="30-39"/>
  </r>
  <r>
    <n v="581"/>
    <x v="245"/>
    <s v="CUST581"/>
    <x v="1"/>
    <n v="48"/>
    <x v="0"/>
    <n v="2"/>
    <n v="30"/>
    <n v="60"/>
    <x v="0"/>
    <x v="0"/>
    <s v="Q4"/>
    <d v="2023-11-01T00:00:00"/>
    <s v="40-49"/>
  </r>
  <r>
    <n v="582"/>
    <x v="220"/>
    <s v="CUST582"/>
    <x v="0"/>
    <n v="35"/>
    <x v="1"/>
    <n v="3"/>
    <n v="300"/>
    <n v="900"/>
    <x v="0"/>
    <x v="0"/>
    <s v="Q4"/>
    <d v="2023-11-01T00:00:00"/>
    <s v="30-39"/>
  </r>
  <r>
    <n v="583"/>
    <x v="288"/>
    <s v="CUST583"/>
    <x v="1"/>
    <n v="24"/>
    <x v="2"/>
    <n v="4"/>
    <n v="25"/>
    <n v="100"/>
    <x v="10"/>
    <x v="0"/>
    <s v="Q2"/>
    <d v="2023-06-01T00:00:00"/>
    <s v="20-29"/>
  </r>
  <r>
    <n v="584"/>
    <x v="15"/>
    <s v="CUST584"/>
    <x v="1"/>
    <n v="27"/>
    <x v="0"/>
    <n v="4"/>
    <n v="50"/>
    <n v="200"/>
    <x v="1"/>
    <x v="0"/>
    <s v="Q1"/>
    <d v="2023-02-01T00:00:00"/>
    <s v="20-29"/>
  </r>
  <r>
    <n v="585"/>
    <x v="217"/>
    <s v="CUST585"/>
    <x v="1"/>
    <n v="24"/>
    <x v="1"/>
    <n v="1"/>
    <n v="25"/>
    <n v="25"/>
    <x v="3"/>
    <x v="0"/>
    <s v="Q2"/>
    <d v="2023-05-01T00:00:00"/>
    <s v="20-29"/>
  </r>
  <r>
    <n v="586"/>
    <x v="186"/>
    <s v="CUST586"/>
    <x v="0"/>
    <n v="50"/>
    <x v="2"/>
    <n v="1"/>
    <n v="50"/>
    <n v="50"/>
    <x v="6"/>
    <x v="0"/>
    <s v="Q4"/>
    <d v="2023-12-01T00:00:00"/>
    <s v="50+"/>
  </r>
  <r>
    <n v="587"/>
    <x v="276"/>
    <s v="CUST587"/>
    <x v="1"/>
    <n v="40"/>
    <x v="0"/>
    <n v="4"/>
    <n v="300"/>
    <n v="1200"/>
    <x v="10"/>
    <x v="0"/>
    <s v="Q2"/>
    <d v="2023-06-01T00:00:00"/>
    <s v="40-49"/>
  </r>
  <r>
    <n v="588"/>
    <x v="164"/>
    <s v="CUST588"/>
    <x v="0"/>
    <n v="38"/>
    <x v="2"/>
    <n v="2"/>
    <n v="30"/>
    <n v="60"/>
    <x v="4"/>
    <x v="0"/>
    <s v="Q2"/>
    <d v="2023-04-01T00:00:00"/>
    <s v="30-39"/>
  </r>
  <r>
    <n v="589"/>
    <x v="22"/>
    <s v="CUST589"/>
    <x v="1"/>
    <n v="36"/>
    <x v="0"/>
    <n v="2"/>
    <n v="500"/>
    <n v="1000"/>
    <x v="4"/>
    <x v="0"/>
    <s v="Q2"/>
    <d v="2023-04-01T00:00:00"/>
    <s v="30-39"/>
  </r>
  <r>
    <n v="590"/>
    <x v="255"/>
    <s v="CUST590"/>
    <x v="0"/>
    <n v="36"/>
    <x v="1"/>
    <n v="3"/>
    <n v="300"/>
    <n v="900"/>
    <x v="5"/>
    <x v="0"/>
    <s v="Q1"/>
    <d v="2023-03-01T00:00:00"/>
    <s v="30-39"/>
  </r>
  <r>
    <n v="591"/>
    <x v="2"/>
    <s v="CUST591"/>
    <x v="0"/>
    <n v="53"/>
    <x v="2"/>
    <n v="4"/>
    <n v="25"/>
    <n v="100"/>
    <x v="2"/>
    <x v="0"/>
    <s v="Q1"/>
    <d v="2023-01-01T00:00:00"/>
    <s v="50+"/>
  </r>
  <r>
    <n v="592"/>
    <x v="58"/>
    <s v="CUST592"/>
    <x v="1"/>
    <n v="46"/>
    <x v="0"/>
    <n v="4"/>
    <n v="500"/>
    <n v="2000"/>
    <x v="2"/>
    <x v="0"/>
    <s v="Q1"/>
    <d v="2023-01-01T00:00:00"/>
    <s v="40-49"/>
  </r>
  <r>
    <n v="593"/>
    <x v="4"/>
    <s v="CUST593"/>
    <x v="0"/>
    <n v="35"/>
    <x v="2"/>
    <n v="2"/>
    <n v="30"/>
    <n v="60"/>
    <x v="3"/>
    <x v="0"/>
    <s v="Q2"/>
    <d v="2023-05-01T00:00:00"/>
    <s v="30-39"/>
  </r>
  <r>
    <n v="594"/>
    <x v="152"/>
    <s v="CUST594"/>
    <x v="1"/>
    <n v="19"/>
    <x v="2"/>
    <n v="2"/>
    <n v="300"/>
    <n v="600"/>
    <x v="9"/>
    <x v="0"/>
    <s v="Q3"/>
    <d v="2023-09-01T00:00:00"/>
    <s v="Under 20"/>
  </r>
  <r>
    <n v="595"/>
    <x v="289"/>
    <s v="CUST595"/>
    <x v="1"/>
    <n v="18"/>
    <x v="1"/>
    <n v="4"/>
    <n v="500"/>
    <n v="2000"/>
    <x v="0"/>
    <x v="0"/>
    <s v="Q4"/>
    <d v="2023-11-01T00:00:00"/>
    <s v="Under 20"/>
  </r>
  <r>
    <n v="596"/>
    <x v="227"/>
    <s v="CUST596"/>
    <x v="1"/>
    <n v="64"/>
    <x v="2"/>
    <n v="1"/>
    <n v="300"/>
    <n v="300"/>
    <x v="1"/>
    <x v="0"/>
    <s v="Q1"/>
    <d v="2023-02-01T00:00:00"/>
    <s v="50+"/>
  </r>
  <r>
    <n v="597"/>
    <x v="290"/>
    <s v="CUST597"/>
    <x v="0"/>
    <n v="22"/>
    <x v="0"/>
    <n v="4"/>
    <n v="300"/>
    <n v="1200"/>
    <x v="8"/>
    <x v="0"/>
    <s v="Q3"/>
    <d v="2023-08-01T00:00:00"/>
    <s v="20-29"/>
  </r>
  <r>
    <n v="598"/>
    <x v="291"/>
    <s v="CUST598"/>
    <x v="0"/>
    <n v="37"/>
    <x v="0"/>
    <n v="4"/>
    <n v="30"/>
    <n v="120"/>
    <x v="8"/>
    <x v="0"/>
    <s v="Q3"/>
    <d v="2023-08-01T00:00:00"/>
    <s v="30-39"/>
  </r>
  <r>
    <n v="599"/>
    <x v="292"/>
    <s v="CUST599"/>
    <x v="1"/>
    <n v="28"/>
    <x v="0"/>
    <n v="2"/>
    <n v="50"/>
    <n v="100"/>
    <x v="0"/>
    <x v="0"/>
    <s v="Q4"/>
    <d v="2023-11-01T00:00:00"/>
    <s v="20-29"/>
  </r>
  <r>
    <n v="600"/>
    <x v="293"/>
    <s v="CUST600"/>
    <x v="1"/>
    <n v="59"/>
    <x v="0"/>
    <n v="2"/>
    <n v="500"/>
    <n v="1000"/>
    <x v="7"/>
    <x v="0"/>
    <s v="Q4"/>
    <d v="2023-10-01T00:00:00"/>
    <s v="50+"/>
  </r>
  <r>
    <n v="601"/>
    <x v="294"/>
    <s v="CUST601"/>
    <x v="0"/>
    <n v="19"/>
    <x v="1"/>
    <n v="1"/>
    <n v="30"/>
    <n v="30"/>
    <x v="4"/>
    <x v="0"/>
    <s v="Q2"/>
    <d v="2023-04-01T00:00:00"/>
    <s v="Under 20"/>
  </r>
  <r>
    <n v="602"/>
    <x v="204"/>
    <s v="CUST602"/>
    <x v="1"/>
    <n v="20"/>
    <x v="2"/>
    <n v="1"/>
    <n v="300"/>
    <n v="300"/>
    <x v="6"/>
    <x v="0"/>
    <s v="Q4"/>
    <d v="2023-12-01T00:00:00"/>
    <s v="20-29"/>
  </r>
  <r>
    <n v="603"/>
    <x v="295"/>
    <s v="CUST603"/>
    <x v="1"/>
    <n v="40"/>
    <x v="1"/>
    <n v="3"/>
    <n v="30"/>
    <n v="90"/>
    <x v="11"/>
    <x v="0"/>
    <s v="Q3"/>
    <d v="2023-07-01T00:00:00"/>
    <s v="40-49"/>
  </r>
  <r>
    <n v="604"/>
    <x v="296"/>
    <s v="CUST604"/>
    <x v="1"/>
    <n v="29"/>
    <x v="2"/>
    <n v="4"/>
    <n v="50"/>
    <n v="200"/>
    <x v="9"/>
    <x v="0"/>
    <s v="Q3"/>
    <d v="2023-09-01T00:00:00"/>
    <s v="20-29"/>
  </r>
  <r>
    <n v="605"/>
    <x v="104"/>
    <s v="CUST605"/>
    <x v="0"/>
    <n v="37"/>
    <x v="2"/>
    <n v="2"/>
    <n v="500"/>
    <n v="1000"/>
    <x v="11"/>
    <x v="0"/>
    <s v="Q3"/>
    <d v="2023-07-01T00:00:00"/>
    <s v="30-39"/>
  </r>
  <r>
    <n v="606"/>
    <x v="179"/>
    <s v="CUST606"/>
    <x v="0"/>
    <n v="22"/>
    <x v="2"/>
    <n v="1"/>
    <n v="50"/>
    <n v="50"/>
    <x v="3"/>
    <x v="0"/>
    <s v="Q2"/>
    <d v="2023-05-01T00:00:00"/>
    <s v="20-29"/>
  </r>
  <r>
    <n v="607"/>
    <x v="255"/>
    <s v="CUST607"/>
    <x v="0"/>
    <n v="54"/>
    <x v="1"/>
    <n v="3"/>
    <n v="25"/>
    <n v="75"/>
    <x v="5"/>
    <x v="0"/>
    <s v="Q1"/>
    <d v="2023-03-01T00:00:00"/>
    <s v="50+"/>
  </r>
  <r>
    <n v="608"/>
    <x v="92"/>
    <s v="CUST608"/>
    <x v="1"/>
    <n v="55"/>
    <x v="2"/>
    <n v="3"/>
    <n v="500"/>
    <n v="1500"/>
    <x v="6"/>
    <x v="0"/>
    <s v="Q4"/>
    <d v="2023-12-01T00:00:00"/>
    <s v="50+"/>
  </r>
  <r>
    <n v="609"/>
    <x v="80"/>
    <s v="CUST609"/>
    <x v="1"/>
    <n v="47"/>
    <x v="1"/>
    <n v="2"/>
    <n v="50"/>
    <n v="100"/>
    <x v="6"/>
    <x v="0"/>
    <s v="Q4"/>
    <d v="2023-12-01T00:00:00"/>
    <s v="40-49"/>
  </r>
  <r>
    <n v="610"/>
    <x v="297"/>
    <s v="CUST610"/>
    <x v="1"/>
    <n v="26"/>
    <x v="0"/>
    <n v="2"/>
    <n v="300"/>
    <n v="600"/>
    <x v="2"/>
    <x v="0"/>
    <s v="Q1"/>
    <d v="2023-01-01T00:00:00"/>
    <s v="20-29"/>
  </r>
  <r>
    <n v="611"/>
    <x v="130"/>
    <s v="CUST611"/>
    <x v="0"/>
    <n v="51"/>
    <x v="0"/>
    <n v="3"/>
    <n v="500"/>
    <n v="1500"/>
    <x v="1"/>
    <x v="0"/>
    <s v="Q1"/>
    <d v="2023-02-01T00:00:00"/>
    <s v="50+"/>
  </r>
  <r>
    <n v="612"/>
    <x v="298"/>
    <s v="CUST612"/>
    <x v="1"/>
    <n v="61"/>
    <x v="2"/>
    <n v="1"/>
    <n v="500"/>
    <n v="500"/>
    <x v="8"/>
    <x v="0"/>
    <s v="Q3"/>
    <d v="2023-08-01T00:00:00"/>
    <s v="50+"/>
  </r>
  <r>
    <n v="613"/>
    <x v="26"/>
    <s v="CUST613"/>
    <x v="1"/>
    <n v="52"/>
    <x v="1"/>
    <n v="3"/>
    <n v="30"/>
    <n v="90"/>
    <x v="4"/>
    <x v="0"/>
    <s v="Q2"/>
    <d v="2023-04-01T00:00:00"/>
    <s v="50+"/>
  </r>
  <r>
    <n v="614"/>
    <x v="258"/>
    <s v="CUST614"/>
    <x v="1"/>
    <n v="39"/>
    <x v="0"/>
    <n v="4"/>
    <n v="300"/>
    <n v="1200"/>
    <x v="4"/>
    <x v="0"/>
    <s v="Q2"/>
    <d v="2023-04-01T00:00:00"/>
    <s v="30-39"/>
  </r>
  <r>
    <n v="615"/>
    <x v="204"/>
    <s v="CUST615"/>
    <x v="1"/>
    <n v="61"/>
    <x v="1"/>
    <n v="4"/>
    <n v="25"/>
    <n v="100"/>
    <x v="6"/>
    <x v="0"/>
    <s v="Q4"/>
    <d v="2023-12-01T00:00:00"/>
    <s v="50+"/>
  </r>
  <r>
    <n v="616"/>
    <x v="299"/>
    <s v="CUST616"/>
    <x v="0"/>
    <n v="41"/>
    <x v="1"/>
    <n v="2"/>
    <n v="50"/>
    <n v="100"/>
    <x v="9"/>
    <x v="0"/>
    <s v="Q3"/>
    <d v="2023-09-01T00:00:00"/>
    <s v="40-49"/>
  </r>
  <r>
    <n v="617"/>
    <x v="300"/>
    <s v="CUST617"/>
    <x v="0"/>
    <n v="34"/>
    <x v="2"/>
    <n v="1"/>
    <n v="30"/>
    <n v="30"/>
    <x v="8"/>
    <x v="0"/>
    <s v="Q3"/>
    <d v="2023-08-01T00:00:00"/>
    <s v="30-39"/>
  </r>
  <r>
    <n v="618"/>
    <x v="197"/>
    <s v="CUST618"/>
    <x v="1"/>
    <n v="27"/>
    <x v="0"/>
    <n v="1"/>
    <n v="50"/>
    <n v="50"/>
    <x v="2"/>
    <x v="0"/>
    <s v="Q1"/>
    <d v="2023-01-01T00:00:00"/>
    <s v="20-29"/>
  </r>
  <r>
    <n v="619"/>
    <x v="81"/>
    <s v="CUST619"/>
    <x v="0"/>
    <n v="47"/>
    <x v="2"/>
    <n v="4"/>
    <n v="25"/>
    <n v="100"/>
    <x v="7"/>
    <x v="0"/>
    <s v="Q4"/>
    <d v="2023-10-01T00:00:00"/>
    <s v="40-49"/>
  </r>
  <r>
    <n v="620"/>
    <x v="193"/>
    <s v="CUST620"/>
    <x v="0"/>
    <n v="63"/>
    <x v="2"/>
    <n v="3"/>
    <n v="25"/>
    <n v="75"/>
    <x v="3"/>
    <x v="0"/>
    <s v="Q2"/>
    <d v="2023-05-01T00:00:00"/>
    <s v="50+"/>
  </r>
  <r>
    <n v="621"/>
    <x v="301"/>
    <s v="CUST621"/>
    <x v="1"/>
    <n v="40"/>
    <x v="0"/>
    <n v="2"/>
    <n v="500"/>
    <n v="1000"/>
    <x v="5"/>
    <x v="0"/>
    <s v="Q1"/>
    <d v="2023-03-01T00:00:00"/>
    <s v="40-49"/>
  </r>
  <r>
    <n v="622"/>
    <x v="290"/>
    <s v="CUST622"/>
    <x v="1"/>
    <n v="49"/>
    <x v="0"/>
    <n v="3"/>
    <n v="25"/>
    <n v="75"/>
    <x v="8"/>
    <x v="0"/>
    <s v="Q3"/>
    <d v="2023-08-01T00:00:00"/>
    <s v="40-49"/>
  </r>
  <r>
    <n v="623"/>
    <x v="239"/>
    <s v="CUST623"/>
    <x v="0"/>
    <n v="34"/>
    <x v="1"/>
    <n v="3"/>
    <n v="50"/>
    <n v="150"/>
    <x v="5"/>
    <x v="0"/>
    <s v="Q1"/>
    <d v="2023-03-01T00:00:00"/>
    <s v="30-39"/>
  </r>
  <r>
    <n v="624"/>
    <x v="300"/>
    <s v="CUST624"/>
    <x v="1"/>
    <n v="34"/>
    <x v="0"/>
    <n v="3"/>
    <n v="300"/>
    <n v="900"/>
    <x v="8"/>
    <x v="0"/>
    <s v="Q3"/>
    <d v="2023-08-01T00:00:00"/>
    <s v="30-39"/>
  </r>
  <r>
    <n v="625"/>
    <x v="236"/>
    <s v="CUST625"/>
    <x v="0"/>
    <n v="31"/>
    <x v="1"/>
    <n v="1"/>
    <n v="300"/>
    <n v="300"/>
    <x v="6"/>
    <x v="0"/>
    <s v="Q4"/>
    <d v="2023-12-01T00:00:00"/>
    <s v="30-39"/>
  </r>
  <r>
    <n v="626"/>
    <x v="136"/>
    <s v="CUST626"/>
    <x v="1"/>
    <n v="26"/>
    <x v="1"/>
    <n v="4"/>
    <n v="500"/>
    <n v="2000"/>
    <x v="9"/>
    <x v="0"/>
    <s v="Q3"/>
    <d v="2023-09-01T00:00:00"/>
    <s v="20-29"/>
  </r>
  <r>
    <n v="627"/>
    <x v="257"/>
    <s v="CUST627"/>
    <x v="0"/>
    <n v="57"/>
    <x v="1"/>
    <n v="1"/>
    <n v="50"/>
    <n v="50"/>
    <x v="7"/>
    <x v="0"/>
    <s v="Q4"/>
    <d v="2023-10-01T00:00:00"/>
    <s v="50+"/>
  </r>
  <r>
    <n v="628"/>
    <x v="215"/>
    <s v="CUST628"/>
    <x v="1"/>
    <n v="19"/>
    <x v="0"/>
    <n v="4"/>
    <n v="50"/>
    <n v="200"/>
    <x v="0"/>
    <x v="0"/>
    <s v="Q4"/>
    <d v="2023-11-01T00:00:00"/>
    <s v="Under 20"/>
  </r>
  <r>
    <n v="629"/>
    <x v="302"/>
    <s v="CUST629"/>
    <x v="0"/>
    <n v="62"/>
    <x v="2"/>
    <n v="2"/>
    <n v="25"/>
    <n v="50"/>
    <x v="10"/>
    <x v="0"/>
    <s v="Q2"/>
    <d v="2023-06-01T00:00:00"/>
    <s v="50+"/>
  </r>
  <r>
    <n v="630"/>
    <x v="196"/>
    <s v="CUST630"/>
    <x v="0"/>
    <n v="42"/>
    <x v="1"/>
    <n v="2"/>
    <n v="50"/>
    <n v="100"/>
    <x v="8"/>
    <x v="0"/>
    <s v="Q3"/>
    <d v="2023-08-01T00:00:00"/>
    <s v="40-49"/>
  </r>
  <r>
    <n v="631"/>
    <x v="235"/>
    <s v="CUST631"/>
    <x v="0"/>
    <n v="56"/>
    <x v="2"/>
    <n v="3"/>
    <n v="30"/>
    <n v="90"/>
    <x v="0"/>
    <x v="0"/>
    <s v="Q4"/>
    <d v="2023-11-01T00:00:00"/>
    <s v="50+"/>
  </r>
  <r>
    <n v="632"/>
    <x v="18"/>
    <s v="CUST632"/>
    <x v="1"/>
    <n v="26"/>
    <x v="2"/>
    <n v="4"/>
    <n v="25"/>
    <n v="100"/>
    <x v="9"/>
    <x v="0"/>
    <s v="Q3"/>
    <d v="2023-09-01T00:00:00"/>
    <s v="20-29"/>
  </r>
  <r>
    <n v="633"/>
    <x v="252"/>
    <s v="CUST633"/>
    <x v="0"/>
    <n v="39"/>
    <x v="0"/>
    <n v="4"/>
    <n v="30"/>
    <n v="120"/>
    <x v="8"/>
    <x v="0"/>
    <s v="Q3"/>
    <d v="2023-08-01T00:00:00"/>
    <s v="30-39"/>
  </r>
  <r>
    <n v="634"/>
    <x v="283"/>
    <s v="CUST634"/>
    <x v="0"/>
    <n v="60"/>
    <x v="2"/>
    <n v="4"/>
    <n v="500"/>
    <n v="2000"/>
    <x v="7"/>
    <x v="0"/>
    <s v="Q4"/>
    <d v="2023-10-01T00:00:00"/>
    <s v="50+"/>
  </r>
  <r>
    <n v="635"/>
    <x v="303"/>
    <s v="CUST635"/>
    <x v="1"/>
    <n v="63"/>
    <x v="2"/>
    <n v="3"/>
    <n v="300"/>
    <n v="900"/>
    <x v="8"/>
    <x v="0"/>
    <s v="Q3"/>
    <d v="2023-08-01T00:00:00"/>
    <s v="50+"/>
  </r>
  <r>
    <n v="636"/>
    <x v="31"/>
    <s v="CUST636"/>
    <x v="1"/>
    <n v="21"/>
    <x v="0"/>
    <n v="3"/>
    <n v="500"/>
    <n v="1500"/>
    <x v="5"/>
    <x v="0"/>
    <s v="Q1"/>
    <d v="2023-03-01T00:00:00"/>
    <s v="20-29"/>
  </r>
  <r>
    <n v="637"/>
    <x v="152"/>
    <s v="CUST637"/>
    <x v="0"/>
    <n v="43"/>
    <x v="1"/>
    <n v="2"/>
    <n v="300"/>
    <n v="600"/>
    <x v="9"/>
    <x v="0"/>
    <s v="Q3"/>
    <d v="2023-09-01T00:00:00"/>
    <s v="40-49"/>
  </r>
  <r>
    <n v="638"/>
    <x v="304"/>
    <s v="CUST638"/>
    <x v="0"/>
    <n v="46"/>
    <x v="2"/>
    <n v="1"/>
    <n v="500"/>
    <n v="500"/>
    <x v="8"/>
    <x v="0"/>
    <s v="Q3"/>
    <d v="2023-08-01T00:00:00"/>
    <s v="40-49"/>
  </r>
  <r>
    <n v="639"/>
    <x v="305"/>
    <s v="CUST639"/>
    <x v="1"/>
    <n v="62"/>
    <x v="0"/>
    <n v="4"/>
    <n v="50"/>
    <n v="200"/>
    <x v="3"/>
    <x v="0"/>
    <s v="Q2"/>
    <d v="2023-05-01T00:00:00"/>
    <s v="50+"/>
  </r>
  <r>
    <n v="640"/>
    <x v="98"/>
    <s v="CUST640"/>
    <x v="1"/>
    <n v="51"/>
    <x v="2"/>
    <n v="4"/>
    <n v="30"/>
    <n v="120"/>
    <x v="3"/>
    <x v="0"/>
    <s v="Q2"/>
    <d v="2023-05-01T00:00:00"/>
    <s v="50+"/>
  </r>
  <r>
    <n v="641"/>
    <x v="250"/>
    <s v="CUST641"/>
    <x v="1"/>
    <n v="40"/>
    <x v="2"/>
    <n v="1"/>
    <n v="300"/>
    <n v="300"/>
    <x v="0"/>
    <x v="0"/>
    <s v="Q4"/>
    <d v="2023-11-01T00:00:00"/>
    <s v="40-49"/>
  </r>
  <r>
    <n v="642"/>
    <x v="247"/>
    <s v="CUST642"/>
    <x v="1"/>
    <n v="54"/>
    <x v="1"/>
    <n v="4"/>
    <n v="25"/>
    <n v="100"/>
    <x v="3"/>
    <x v="0"/>
    <s v="Q2"/>
    <d v="2023-05-01T00:00:00"/>
    <s v="50+"/>
  </r>
  <r>
    <n v="643"/>
    <x v="272"/>
    <s v="CUST643"/>
    <x v="1"/>
    <n v="28"/>
    <x v="2"/>
    <n v="3"/>
    <n v="30"/>
    <n v="90"/>
    <x v="9"/>
    <x v="0"/>
    <s v="Q3"/>
    <d v="2023-09-01T00:00:00"/>
    <s v="20-29"/>
  </r>
  <r>
    <n v="644"/>
    <x v="147"/>
    <s v="CUST644"/>
    <x v="0"/>
    <n v="23"/>
    <x v="0"/>
    <n v="3"/>
    <n v="25"/>
    <n v="75"/>
    <x v="9"/>
    <x v="0"/>
    <s v="Q3"/>
    <d v="2023-09-01T00:00:00"/>
    <s v="20-29"/>
  </r>
  <r>
    <n v="645"/>
    <x v="131"/>
    <s v="CUST645"/>
    <x v="1"/>
    <n v="35"/>
    <x v="2"/>
    <n v="4"/>
    <n v="30"/>
    <n v="120"/>
    <x v="0"/>
    <x v="0"/>
    <s v="Q4"/>
    <d v="2023-11-01T00:00:00"/>
    <s v="30-39"/>
  </r>
  <r>
    <n v="646"/>
    <x v="143"/>
    <s v="CUST646"/>
    <x v="0"/>
    <n v="38"/>
    <x v="1"/>
    <n v="3"/>
    <n v="30"/>
    <n v="90"/>
    <x v="3"/>
    <x v="0"/>
    <s v="Q2"/>
    <d v="2023-05-01T00:00:00"/>
    <s v="30-39"/>
  </r>
  <r>
    <n v="647"/>
    <x v="3"/>
    <s v="CUST647"/>
    <x v="0"/>
    <n v="59"/>
    <x v="1"/>
    <n v="3"/>
    <n v="500"/>
    <n v="1500"/>
    <x v="3"/>
    <x v="0"/>
    <s v="Q2"/>
    <d v="2023-05-01T00:00:00"/>
    <s v="50+"/>
  </r>
  <r>
    <n v="648"/>
    <x v="306"/>
    <s v="CUST648"/>
    <x v="0"/>
    <n v="53"/>
    <x v="0"/>
    <n v="4"/>
    <n v="300"/>
    <n v="1200"/>
    <x v="8"/>
    <x v="0"/>
    <s v="Q3"/>
    <d v="2023-08-01T00:00:00"/>
    <s v="50+"/>
  </r>
  <r>
    <n v="649"/>
    <x v="307"/>
    <s v="CUST649"/>
    <x v="1"/>
    <n v="58"/>
    <x v="1"/>
    <n v="2"/>
    <n v="300"/>
    <n v="600"/>
    <x v="1"/>
    <x v="0"/>
    <s v="Q1"/>
    <d v="2023-02-01T00:00:00"/>
    <s v="50+"/>
  </r>
  <r>
    <n v="650"/>
    <x v="158"/>
    <s v="CUST650"/>
    <x v="0"/>
    <n v="55"/>
    <x v="2"/>
    <n v="1"/>
    <n v="30"/>
    <n v="30"/>
    <x v="12"/>
    <x v="1"/>
    <s v="Q1"/>
    <d v="2024-01-01T00:00:00"/>
    <s v="50+"/>
  </r>
  <r>
    <n v="651"/>
    <x v="203"/>
    <s v="CUST651"/>
    <x v="0"/>
    <n v="51"/>
    <x v="1"/>
    <n v="3"/>
    <n v="50"/>
    <n v="150"/>
    <x v="3"/>
    <x v="0"/>
    <s v="Q2"/>
    <d v="2023-05-01T00:00:00"/>
    <s v="50+"/>
  </r>
  <r>
    <n v="652"/>
    <x v="217"/>
    <s v="CUST652"/>
    <x v="1"/>
    <n v="34"/>
    <x v="0"/>
    <n v="2"/>
    <n v="50"/>
    <n v="100"/>
    <x v="3"/>
    <x v="0"/>
    <s v="Q2"/>
    <d v="2023-05-01T00:00:00"/>
    <s v="30-39"/>
  </r>
  <r>
    <n v="653"/>
    <x v="241"/>
    <s v="CUST653"/>
    <x v="0"/>
    <n v="54"/>
    <x v="1"/>
    <n v="3"/>
    <n v="25"/>
    <n v="75"/>
    <x v="3"/>
    <x v="0"/>
    <s v="Q2"/>
    <d v="2023-05-01T00:00:00"/>
    <s v="50+"/>
  </r>
  <r>
    <n v="654"/>
    <x v="288"/>
    <s v="CUST654"/>
    <x v="0"/>
    <n v="42"/>
    <x v="1"/>
    <n v="3"/>
    <n v="25"/>
    <n v="75"/>
    <x v="10"/>
    <x v="0"/>
    <s v="Q2"/>
    <d v="2023-06-01T00:00:00"/>
    <s v="40-49"/>
  </r>
  <r>
    <n v="655"/>
    <x v="308"/>
    <s v="CUST655"/>
    <x v="1"/>
    <n v="55"/>
    <x v="1"/>
    <n v="1"/>
    <n v="500"/>
    <n v="500"/>
    <x v="10"/>
    <x v="0"/>
    <s v="Q2"/>
    <d v="2023-06-01T00:00:00"/>
    <s v="50+"/>
  </r>
  <r>
    <n v="656"/>
    <x v="135"/>
    <s v="CUST656"/>
    <x v="0"/>
    <n v="29"/>
    <x v="0"/>
    <n v="3"/>
    <n v="30"/>
    <n v="90"/>
    <x v="7"/>
    <x v="0"/>
    <s v="Q4"/>
    <d v="2023-10-01T00:00:00"/>
    <s v="20-29"/>
  </r>
  <r>
    <n v="657"/>
    <x v="213"/>
    <s v="CUST657"/>
    <x v="0"/>
    <n v="40"/>
    <x v="1"/>
    <n v="1"/>
    <n v="25"/>
    <n v="25"/>
    <x v="1"/>
    <x v="0"/>
    <s v="Q1"/>
    <d v="2023-02-01T00:00:00"/>
    <s v="40-49"/>
  </r>
  <r>
    <n v="658"/>
    <x v="105"/>
    <s v="CUST658"/>
    <x v="0"/>
    <n v="59"/>
    <x v="1"/>
    <n v="1"/>
    <n v="25"/>
    <n v="25"/>
    <x v="5"/>
    <x v="0"/>
    <s v="Q1"/>
    <d v="2023-03-01T00:00:00"/>
    <s v="50+"/>
  </r>
  <r>
    <n v="659"/>
    <x v="309"/>
    <s v="CUST659"/>
    <x v="1"/>
    <n v="39"/>
    <x v="2"/>
    <n v="1"/>
    <n v="30"/>
    <n v="30"/>
    <x v="5"/>
    <x v="0"/>
    <s v="Q1"/>
    <d v="2023-03-01T00:00:00"/>
    <s v="30-39"/>
  </r>
  <r>
    <n v="660"/>
    <x v="310"/>
    <s v="CUST660"/>
    <x v="1"/>
    <n v="38"/>
    <x v="0"/>
    <n v="2"/>
    <n v="500"/>
    <n v="1000"/>
    <x v="4"/>
    <x v="0"/>
    <s v="Q2"/>
    <d v="2023-04-01T00:00:00"/>
    <s v="30-39"/>
  </r>
  <r>
    <n v="661"/>
    <x v="295"/>
    <s v="CUST661"/>
    <x v="1"/>
    <n v="44"/>
    <x v="1"/>
    <n v="4"/>
    <n v="25"/>
    <n v="100"/>
    <x v="11"/>
    <x v="0"/>
    <s v="Q3"/>
    <d v="2023-07-01T00:00:00"/>
    <s v="40-49"/>
  </r>
  <r>
    <n v="662"/>
    <x v="311"/>
    <s v="CUST662"/>
    <x v="0"/>
    <n v="48"/>
    <x v="0"/>
    <n v="2"/>
    <n v="500"/>
    <n v="1000"/>
    <x v="6"/>
    <x v="0"/>
    <s v="Q4"/>
    <d v="2023-12-01T00:00:00"/>
    <s v="40-49"/>
  </r>
  <r>
    <n v="663"/>
    <x v="111"/>
    <s v="CUST663"/>
    <x v="0"/>
    <n v="23"/>
    <x v="1"/>
    <n v="4"/>
    <n v="300"/>
    <n v="1200"/>
    <x v="5"/>
    <x v="0"/>
    <s v="Q1"/>
    <d v="2023-03-01T00:00:00"/>
    <s v="20-29"/>
  </r>
  <r>
    <n v="664"/>
    <x v="251"/>
    <s v="CUST664"/>
    <x v="1"/>
    <n v="44"/>
    <x v="1"/>
    <n v="4"/>
    <n v="500"/>
    <n v="2000"/>
    <x v="6"/>
    <x v="0"/>
    <s v="Q4"/>
    <d v="2023-12-01T00:00:00"/>
    <s v="40-49"/>
  </r>
  <r>
    <n v="665"/>
    <x v="175"/>
    <s v="CUST665"/>
    <x v="0"/>
    <n v="57"/>
    <x v="1"/>
    <n v="1"/>
    <n v="50"/>
    <n v="50"/>
    <x v="4"/>
    <x v="0"/>
    <s v="Q2"/>
    <d v="2023-04-01T00:00:00"/>
    <s v="50+"/>
  </r>
  <r>
    <n v="666"/>
    <x v="114"/>
    <s v="CUST666"/>
    <x v="0"/>
    <n v="51"/>
    <x v="2"/>
    <n v="3"/>
    <n v="50"/>
    <n v="150"/>
    <x v="1"/>
    <x v="0"/>
    <s v="Q1"/>
    <d v="2023-02-01T00:00:00"/>
    <s v="50+"/>
  </r>
  <r>
    <n v="667"/>
    <x v="291"/>
    <s v="CUST667"/>
    <x v="1"/>
    <n v="29"/>
    <x v="2"/>
    <n v="1"/>
    <n v="500"/>
    <n v="500"/>
    <x v="8"/>
    <x v="0"/>
    <s v="Q3"/>
    <d v="2023-08-01T00:00:00"/>
    <s v="20-29"/>
  </r>
  <r>
    <n v="668"/>
    <x v="180"/>
    <s v="CUST668"/>
    <x v="1"/>
    <n v="62"/>
    <x v="2"/>
    <n v="3"/>
    <n v="50"/>
    <n v="150"/>
    <x v="11"/>
    <x v="0"/>
    <s v="Q3"/>
    <d v="2023-07-01T00:00:00"/>
    <s v="50+"/>
  </r>
  <r>
    <n v="669"/>
    <x v="171"/>
    <s v="CUST669"/>
    <x v="0"/>
    <n v="24"/>
    <x v="0"/>
    <n v="4"/>
    <n v="300"/>
    <n v="1200"/>
    <x v="10"/>
    <x v="0"/>
    <s v="Q2"/>
    <d v="2023-06-01T00:00:00"/>
    <s v="20-29"/>
  </r>
  <r>
    <n v="670"/>
    <x v="209"/>
    <s v="CUST670"/>
    <x v="0"/>
    <n v="27"/>
    <x v="0"/>
    <n v="1"/>
    <n v="30"/>
    <n v="30"/>
    <x v="7"/>
    <x v="0"/>
    <s v="Q4"/>
    <d v="2023-10-01T00:00:00"/>
    <s v="20-29"/>
  </r>
  <r>
    <n v="671"/>
    <x v="286"/>
    <s v="CUST671"/>
    <x v="0"/>
    <n v="62"/>
    <x v="2"/>
    <n v="3"/>
    <n v="50"/>
    <n v="150"/>
    <x v="8"/>
    <x v="0"/>
    <s v="Q3"/>
    <d v="2023-08-01T00:00:00"/>
    <s v="50+"/>
  </r>
  <r>
    <n v="672"/>
    <x v="291"/>
    <s v="CUST672"/>
    <x v="1"/>
    <n v="34"/>
    <x v="0"/>
    <n v="2"/>
    <n v="50"/>
    <n v="100"/>
    <x v="8"/>
    <x v="0"/>
    <s v="Q3"/>
    <d v="2023-08-01T00:00:00"/>
    <s v="30-39"/>
  </r>
  <r>
    <n v="673"/>
    <x v="190"/>
    <s v="CUST673"/>
    <x v="1"/>
    <n v="43"/>
    <x v="1"/>
    <n v="3"/>
    <n v="500"/>
    <n v="1500"/>
    <x v="1"/>
    <x v="0"/>
    <s v="Q1"/>
    <d v="2023-02-01T00:00:00"/>
    <s v="40-49"/>
  </r>
  <r>
    <n v="674"/>
    <x v="312"/>
    <s v="CUST674"/>
    <x v="1"/>
    <n v="38"/>
    <x v="1"/>
    <n v="1"/>
    <n v="300"/>
    <n v="300"/>
    <x v="4"/>
    <x v="0"/>
    <s v="Q2"/>
    <d v="2023-04-01T00:00:00"/>
    <s v="30-39"/>
  </r>
  <r>
    <n v="675"/>
    <x v="279"/>
    <s v="CUST675"/>
    <x v="1"/>
    <n v="45"/>
    <x v="1"/>
    <n v="2"/>
    <n v="30"/>
    <n v="60"/>
    <x v="8"/>
    <x v="0"/>
    <s v="Q3"/>
    <d v="2023-08-01T00:00:00"/>
    <s v="40-49"/>
  </r>
  <r>
    <n v="676"/>
    <x v="202"/>
    <s v="CUST676"/>
    <x v="0"/>
    <n v="63"/>
    <x v="2"/>
    <n v="3"/>
    <n v="500"/>
    <n v="1500"/>
    <x v="11"/>
    <x v="0"/>
    <s v="Q3"/>
    <d v="2023-07-01T00:00:00"/>
    <s v="50+"/>
  </r>
  <r>
    <n v="677"/>
    <x v="101"/>
    <s v="CUST677"/>
    <x v="1"/>
    <n v="19"/>
    <x v="0"/>
    <n v="3"/>
    <n v="500"/>
    <n v="1500"/>
    <x v="7"/>
    <x v="0"/>
    <s v="Q4"/>
    <d v="2023-10-01T00:00:00"/>
    <s v="Under 20"/>
  </r>
  <r>
    <n v="678"/>
    <x v="204"/>
    <s v="CUST678"/>
    <x v="1"/>
    <n v="60"/>
    <x v="2"/>
    <n v="3"/>
    <n v="300"/>
    <n v="900"/>
    <x v="6"/>
    <x v="0"/>
    <s v="Q4"/>
    <d v="2023-12-01T00:00:00"/>
    <s v="50+"/>
  </r>
  <r>
    <n v="679"/>
    <x v="166"/>
    <s v="CUST679"/>
    <x v="1"/>
    <n v="18"/>
    <x v="0"/>
    <n v="3"/>
    <n v="30"/>
    <n v="90"/>
    <x v="2"/>
    <x v="0"/>
    <s v="Q1"/>
    <d v="2023-01-01T00:00:00"/>
    <s v="Under 20"/>
  </r>
  <r>
    <n v="680"/>
    <x v="293"/>
    <s v="CUST680"/>
    <x v="1"/>
    <n v="53"/>
    <x v="1"/>
    <n v="3"/>
    <n v="300"/>
    <n v="900"/>
    <x v="7"/>
    <x v="0"/>
    <s v="Q4"/>
    <d v="2023-10-01T00:00:00"/>
    <s v="50+"/>
  </r>
  <r>
    <n v="681"/>
    <x v="37"/>
    <s v="CUST681"/>
    <x v="1"/>
    <n v="43"/>
    <x v="2"/>
    <n v="2"/>
    <n v="30"/>
    <n v="60"/>
    <x v="11"/>
    <x v="0"/>
    <s v="Q3"/>
    <d v="2023-07-01T00:00:00"/>
    <s v="40-49"/>
  </r>
  <r>
    <n v="682"/>
    <x v="211"/>
    <s v="CUST682"/>
    <x v="0"/>
    <n v="46"/>
    <x v="0"/>
    <n v="4"/>
    <n v="300"/>
    <n v="1200"/>
    <x v="9"/>
    <x v="0"/>
    <s v="Q3"/>
    <d v="2023-09-01T00:00:00"/>
    <s v="40-49"/>
  </r>
  <r>
    <n v="683"/>
    <x v="30"/>
    <s v="CUST683"/>
    <x v="0"/>
    <n v="38"/>
    <x v="0"/>
    <n v="2"/>
    <n v="500"/>
    <n v="1000"/>
    <x v="2"/>
    <x v="0"/>
    <s v="Q1"/>
    <d v="2023-01-01T00:00:00"/>
    <s v="30-39"/>
  </r>
  <r>
    <n v="684"/>
    <x v="313"/>
    <s v="CUST684"/>
    <x v="1"/>
    <n v="28"/>
    <x v="1"/>
    <n v="2"/>
    <n v="500"/>
    <n v="1000"/>
    <x v="10"/>
    <x v="0"/>
    <s v="Q2"/>
    <d v="2023-06-01T00:00:00"/>
    <s v="20-29"/>
  </r>
  <r>
    <n v="685"/>
    <x v="132"/>
    <s v="CUST685"/>
    <x v="0"/>
    <n v="57"/>
    <x v="2"/>
    <n v="2"/>
    <n v="25"/>
    <n v="50"/>
    <x v="10"/>
    <x v="0"/>
    <s v="Q2"/>
    <d v="2023-06-01T00:00:00"/>
    <s v="50+"/>
  </r>
  <r>
    <n v="686"/>
    <x v="202"/>
    <s v="CUST686"/>
    <x v="1"/>
    <n v="28"/>
    <x v="2"/>
    <n v="4"/>
    <n v="50"/>
    <n v="200"/>
    <x v="11"/>
    <x v="0"/>
    <s v="Q3"/>
    <d v="2023-07-01T00:00:00"/>
    <s v="20-29"/>
  </r>
  <r>
    <n v="687"/>
    <x v="25"/>
    <s v="CUST687"/>
    <x v="1"/>
    <n v="53"/>
    <x v="2"/>
    <n v="1"/>
    <n v="300"/>
    <n v="300"/>
    <x v="8"/>
    <x v="0"/>
    <s v="Q3"/>
    <d v="2023-08-01T00:00:00"/>
    <s v="50+"/>
  </r>
  <r>
    <n v="688"/>
    <x v="99"/>
    <s v="CUST688"/>
    <x v="0"/>
    <n v="56"/>
    <x v="1"/>
    <n v="4"/>
    <n v="25"/>
    <n v="100"/>
    <x v="7"/>
    <x v="0"/>
    <s v="Q4"/>
    <d v="2023-10-01T00:00:00"/>
    <s v="50+"/>
  </r>
  <r>
    <n v="689"/>
    <x v="9"/>
    <s v="CUST689"/>
    <x v="0"/>
    <n v="57"/>
    <x v="2"/>
    <n v="2"/>
    <n v="50"/>
    <n v="100"/>
    <x v="7"/>
    <x v="0"/>
    <s v="Q4"/>
    <d v="2023-10-01T00:00:00"/>
    <s v="50+"/>
  </r>
  <r>
    <n v="690"/>
    <x v="19"/>
    <s v="CUST690"/>
    <x v="1"/>
    <n v="52"/>
    <x v="1"/>
    <n v="3"/>
    <n v="300"/>
    <n v="900"/>
    <x v="0"/>
    <x v="0"/>
    <s v="Q4"/>
    <d v="2023-11-01T00:00:00"/>
    <s v="50+"/>
  </r>
  <r>
    <n v="691"/>
    <x v="26"/>
    <s v="CUST691"/>
    <x v="1"/>
    <n v="51"/>
    <x v="1"/>
    <n v="3"/>
    <n v="30"/>
    <n v="90"/>
    <x v="4"/>
    <x v="0"/>
    <s v="Q2"/>
    <d v="2023-04-01T00:00:00"/>
    <s v="50+"/>
  </r>
  <r>
    <n v="692"/>
    <x v="206"/>
    <s v="CUST692"/>
    <x v="1"/>
    <n v="64"/>
    <x v="1"/>
    <n v="2"/>
    <n v="50"/>
    <n v="100"/>
    <x v="9"/>
    <x v="0"/>
    <s v="Q3"/>
    <d v="2023-09-01T00:00:00"/>
    <s v="50+"/>
  </r>
  <r>
    <n v="693"/>
    <x v="26"/>
    <s v="CUST693"/>
    <x v="0"/>
    <n v="41"/>
    <x v="0"/>
    <n v="3"/>
    <n v="500"/>
    <n v="1500"/>
    <x v="4"/>
    <x v="0"/>
    <s v="Q2"/>
    <d v="2023-04-01T00:00:00"/>
    <s v="40-49"/>
  </r>
  <r>
    <n v="694"/>
    <x v="241"/>
    <s v="CUST694"/>
    <x v="1"/>
    <n v="39"/>
    <x v="2"/>
    <n v="2"/>
    <n v="25"/>
    <n v="50"/>
    <x v="3"/>
    <x v="0"/>
    <s v="Q2"/>
    <d v="2023-05-01T00:00:00"/>
    <s v="30-39"/>
  </r>
  <r>
    <n v="695"/>
    <x v="269"/>
    <s v="CUST695"/>
    <x v="1"/>
    <n v="22"/>
    <x v="2"/>
    <n v="3"/>
    <n v="50"/>
    <n v="150"/>
    <x v="8"/>
    <x v="0"/>
    <s v="Q3"/>
    <d v="2023-08-01T00:00:00"/>
    <s v="20-29"/>
  </r>
  <r>
    <n v="696"/>
    <x v="147"/>
    <s v="CUST696"/>
    <x v="1"/>
    <n v="50"/>
    <x v="1"/>
    <n v="4"/>
    <n v="50"/>
    <n v="200"/>
    <x v="9"/>
    <x v="0"/>
    <s v="Q3"/>
    <d v="2023-09-01T00:00:00"/>
    <s v="50+"/>
  </r>
  <r>
    <n v="697"/>
    <x v="267"/>
    <s v="CUST697"/>
    <x v="0"/>
    <n v="53"/>
    <x v="1"/>
    <n v="1"/>
    <n v="500"/>
    <n v="500"/>
    <x v="2"/>
    <x v="0"/>
    <s v="Q1"/>
    <d v="2023-01-01T00:00:00"/>
    <s v="50+"/>
  </r>
  <r>
    <n v="698"/>
    <x v="202"/>
    <s v="CUST698"/>
    <x v="1"/>
    <n v="64"/>
    <x v="2"/>
    <n v="1"/>
    <n v="300"/>
    <n v="300"/>
    <x v="11"/>
    <x v="0"/>
    <s v="Q3"/>
    <d v="2023-07-01T00:00:00"/>
    <s v="50+"/>
  </r>
  <r>
    <n v="699"/>
    <x v="36"/>
    <s v="CUST699"/>
    <x v="1"/>
    <n v="37"/>
    <x v="1"/>
    <n v="4"/>
    <n v="30"/>
    <n v="120"/>
    <x v="10"/>
    <x v="0"/>
    <s v="Q2"/>
    <d v="2023-06-01T00:00:00"/>
    <s v="30-39"/>
  </r>
  <r>
    <n v="700"/>
    <x v="174"/>
    <s v="CUST700"/>
    <x v="0"/>
    <n v="36"/>
    <x v="2"/>
    <n v="4"/>
    <n v="500"/>
    <n v="2000"/>
    <x v="6"/>
    <x v="0"/>
    <s v="Q4"/>
    <d v="2023-12-01T00:00:00"/>
    <s v="30-39"/>
  </r>
  <r>
    <n v="701"/>
    <x v="266"/>
    <s v="CUST701"/>
    <x v="1"/>
    <n v="52"/>
    <x v="0"/>
    <n v="2"/>
    <n v="30"/>
    <n v="60"/>
    <x v="6"/>
    <x v="0"/>
    <s v="Q4"/>
    <d v="2023-12-01T00:00:00"/>
    <s v="50+"/>
  </r>
  <r>
    <n v="702"/>
    <x v="282"/>
    <s v="CUST702"/>
    <x v="1"/>
    <n v="60"/>
    <x v="1"/>
    <n v="2"/>
    <n v="300"/>
    <n v="600"/>
    <x v="11"/>
    <x v="0"/>
    <s v="Q3"/>
    <d v="2023-07-01T00:00:00"/>
    <s v="50+"/>
  </r>
  <r>
    <n v="703"/>
    <x v="154"/>
    <s v="CUST703"/>
    <x v="0"/>
    <n v="34"/>
    <x v="2"/>
    <n v="2"/>
    <n v="50"/>
    <n v="100"/>
    <x v="5"/>
    <x v="0"/>
    <s v="Q1"/>
    <d v="2023-03-01T00:00:00"/>
    <s v="30-39"/>
  </r>
  <r>
    <n v="704"/>
    <x v="117"/>
    <s v="CUST704"/>
    <x v="1"/>
    <n v="62"/>
    <x v="1"/>
    <n v="3"/>
    <n v="30"/>
    <n v="90"/>
    <x v="8"/>
    <x v="0"/>
    <s v="Q3"/>
    <d v="2023-08-01T00:00:00"/>
    <s v="50+"/>
  </r>
  <r>
    <n v="705"/>
    <x v="150"/>
    <s v="CUST705"/>
    <x v="0"/>
    <n v="60"/>
    <x v="2"/>
    <n v="2"/>
    <n v="25"/>
    <n v="50"/>
    <x v="5"/>
    <x v="0"/>
    <s v="Q1"/>
    <d v="2023-03-01T00:00:00"/>
    <s v="50+"/>
  </r>
  <r>
    <n v="706"/>
    <x v="229"/>
    <s v="CUST706"/>
    <x v="0"/>
    <n v="51"/>
    <x v="2"/>
    <n v="4"/>
    <n v="25"/>
    <n v="100"/>
    <x v="0"/>
    <x v="0"/>
    <s v="Q4"/>
    <d v="2023-11-01T00:00:00"/>
    <s v="50+"/>
  </r>
  <r>
    <n v="707"/>
    <x v="77"/>
    <s v="CUST707"/>
    <x v="1"/>
    <n v="26"/>
    <x v="1"/>
    <n v="1"/>
    <n v="500"/>
    <n v="500"/>
    <x v="7"/>
    <x v="0"/>
    <s v="Q4"/>
    <d v="2023-10-01T00:00:00"/>
    <s v="20-29"/>
  </r>
  <r>
    <n v="708"/>
    <x v="20"/>
    <s v="CUST708"/>
    <x v="1"/>
    <n v="43"/>
    <x v="0"/>
    <n v="3"/>
    <n v="300"/>
    <n v="900"/>
    <x v="2"/>
    <x v="0"/>
    <s v="Q1"/>
    <d v="2023-01-01T00:00:00"/>
    <s v="40-49"/>
  </r>
  <r>
    <n v="709"/>
    <x v="314"/>
    <s v="CUST709"/>
    <x v="1"/>
    <n v="19"/>
    <x v="2"/>
    <n v="2"/>
    <n v="500"/>
    <n v="1000"/>
    <x v="11"/>
    <x v="0"/>
    <s v="Q3"/>
    <d v="2023-07-01T00:00:00"/>
    <s v="Under 20"/>
  </r>
  <r>
    <n v="710"/>
    <x v="315"/>
    <s v="CUST710"/>
    <x v="1"/>
    <n v="26"/>
    <x v="2"/>
    <n v="3"/>
    <n v="500"/>
    <n v="1500"/>
    <x v="7"/>
    <x v="0"/>
    <s v="Q4"/>
    <d v="2023-10-01T00:00:00"/>
    <s v="20-29"/>
  </r>
  <r>
    <n v="711"/>
    <x v="230"/>
    <s v="CUST711"/>
    <x v="0"/>
    <n v="26"/>
    <x v="2"/>
    <n v="3"/>
    <n v="500"/>
    <n v="1500"/>
    <x v="7"/>
    <x v="0"/>
    <s v="Q4"/>
    <d v="2023-10-01T00:00:00"/>
    <s v="20-29"/>
  </r>
  <r>
    <n v="712"/>
    <x v="237"/>
    <s v="CUST712"/>
    <x v="1"/>
    <n v="57"/>
    <x v="0"/>
    <n v="2"/>
    <n v="25"/>
    <n v="50"/>
    <x v="6"/>
    <x v="0"/>
    <s v="Q4"/>
    <d v="2023-12-01T00:00:00"/>
    <s v="50+"/>
  </r>
  <r>
    <n v="713"/>
    <x v="20"/>
    <s v="CUST713"/>
    <x v="0"/>
    <n v="34"/>
    <x v="0"/>
    <n v="3"/>
    <n v="25"/>
    <n v="75"/>
    <x v="2"/>
    <x v="0"/>
    <s v="Q1"/>
    <d v="2023-01-01T00:00:00"/>
    <s v="30-39"/>
  </r>
  <r>
    <n v="714"/>
    <x v="316"/>
    <s v="CUST714"/>
    <x v="1"/>
    <n v="18"/>
    <x v="1"/>
    <n v="1"/>
    <n v="500"/>
    <n v="500"/>
    <x v="1"/>
    <x v="0"/>
    <s v="Q1"/>
    <d v="2023-02-01T00:00:00"/>
    <s v="Under 20"/>
  </r>
  <r>
    <n v="715"/>
    <x v="95"/>
    <s v="CUST715"/>
    <x v="1"/>
    <n v="42"/>
    <x v="0"/>
    <n v="4"/>
    <n v="25"/>
    <n v="100"/>
    <x v="0"/>
    <x v="0"/>
    <s v="Q4"/>
    <d v="2023-11-01T00:00:00"/>
    <s v="40-49"/>
  </r>
  <r>
    <n v="716"/>
    <x v="102"/>
    <s v="CUST716"/>
    <x v="1"/>
    <n v="60"/>
    <x v="1"/>
    <n v="4"/>
    <n v="300"/>
    <n v="1200"/>
    <x v="8"/>
    <x v="0"/>
    <s v="Q3"/>
    <d v="2023-08-01T00:00:00"/>
    <s v="50+"/>
  </r>
  <r>
    <n v="717"/>
    <x v="317"/>
    <s v="CUST717"/>
    <x v="0"/>
    <n v="57"/>
    <x v="1"/>
    <n v="1"/>
    <n v="500"/>
    <n v="500"/>
    <x v="5"/>
    <x v="0"/>
    <s v="Q1"/>
    <d v="2023-03-01T00:00:00"/>
    <s v="50+"/>
  </r>
  <r>
    <n v="718"/>
    <x v="78"/>
    <s v="CUST718"/>
    <x v="1"/>
    <n v="59"/>
    <x v="0"/>
    <n v="3"/>
    <n v="25"/>
    <n v="75"/>
    <x v="8"/>
    <x v="0"/>
    <s v="Q3"/>
    <d v="2023-08-01T00:00:00"/>
    <s v="50+"/>
  </r>
  <r>
    <n v="719"/>
    <x v="194"/>
    <s v="CUST719"/>
    <x v="1"/>
    <n v="42"/>
    <x v="1"/>
    <n v="2"/>
    <n v="30"/>
    <n v="60"/>
    <x v="4"/>
    <x v="0"/>
    <s v="Q2"/>
    <d v="2023-04-01T00:00:00"/>
    <s v="40-49"/>
  </r>
  <r>
    <n v="720"/>
    <x v="197"/>
    <s v="CUST720"/>
    <x v="1"/>
    <n v="56"/>
    <x v="0"/>
    <n v="3"/>
    <n v="500"/>
    <n v="1500"/>
    <x v="2"/>
    <x v="0"/>
    <s v="Q1"/>
    <d v="2023-01-01T00:00:00"/>
    <s v="50+"/>
  </r>
  <r>
    <n v="721"/>
    <x v="224"/>
    <s v="CUST721"/>
    <x v="1"/>
    <n v="52"/>
    <x v="1"/>
    <n v="1"/>
    <n v="500"/>
    <n v="500"/>
    <x v="3"/>
    <x v="0"/>
    <s v="Q2"/>
    <d v="2023-05-01T00:00:00"/>
    <s v="50+"/>
  </r>
  <r>
    <n v="722"/>
    <x v="37"/>
    <s v="CUST722"/>
    <x v="0"/>
    <n v="20"/>
    <x v="0"/>
    <n v="3"/>
    <n v="300"/>
    <n v="900"/>
    <x v="11"/>
    <x v="0"/>
    <s v="Q3"/>
    <d v="2023-07-01T00:00:00"/>
    <s v="20-29"/>
  </r>
  <r>
    <n v="723"/>
    <x v="278"/>
    <s v="CUST723"/>
    <x v="1"/>
    <n v="54"/>
    <x v="0"/>
    <n v="4"/>
    <n v="50"/>
    <n v="200"/>
    <x v="10"/>
    <x v="0"/>
    <s v="Q2"/>
    <d v="2023-06-01T00:00:00"/>
    <s v="50+"/>
  </r>
  <r>
    <n v="724"/>
    <x v="90"/>
    <s v="CUST724"/>
    <x v="0"/>
    <n v="61"/>
    <x v="1"/>
    <n v="3"/>
    <n v="50"/>
    <n v="150"/>
    <x v="4"/>
    <x v="0"/>
    <s v="Q2"/>
    <d v="2023-04-01T00:00:00"/>
    <s v="50+"/>
  </r>
  <r>
    <n v="725"/>
    <x v="63"/>
    <s v="CUST725"/>
    <x v="0"/>
    <n v="61"/>
    <x v="2"/>
    <n v="1"/>
    <n v="300"/>
    <n v="300"/>
    <x v="8"/>
    <x v="0"/>
    <s v="Q3"/>
    <d v="2023-08-01T00:00:00"/>
    <s v="50+"/>
  </r>
  <r>
    <n v="726"/>
    <x v="278"/>
    <s v="CUST726"/>
    <x v="0"/>
    <n v="47"/>
    <x v="1"/>
    <n v="4"/>
    <n v="300"/>
    <n v="1200"/>
    <x v="10"/>
    <x v="0"/>
    <s v="Q2"/>
    <d v="2023-06-01T00:00:00"/>
    <s v="40-49"/>
  </r>
  <r>
    <n v="727"/>
    <x v="36"/>
    <s v="CUST727"/>
    <x v="0"/>
    <n v="55"/>
    <x v="0"/>
    <n v="3"/>
    <n v="300"/>
    <n v="900"/>
    <x v="10"/>
    <x v="0"/>
    <s v="Q2"/>
    <d v="2023-06-01T00:00:00"/>
    <s v="50+"/>
  </r>
  <r>
    <n v="728"/>
    <x v="37"/>
    <s v="CUST728"/>
    <x v="0"/>
    <n v="51"/>
    <x v="2"/>
    <n v="3"/>
    <n v="50"/>
    <n v="150"/>
    <x v="11"/>
    <x v="0"/>
    <s v="Q3"/>
    <d v="2023-07-01T00:00:00"/>
    <s v="50+"/>
  </r>
  <r>
    <n v="729"/>
    <x v="29"/>
    <s v="CUST729"/>
    <x v="0"/>
    <n v="29"/>
    <x v="1"/>
    <n v="4"/>
    <n v="300"/>
    <n v="1200"/>
    <x v="3"/>
    <x v="0"/>
    <s v="Q2"/>
    <d v="2023-05-01T00:00:00"/>
    <s v="20-29"/>
  </r>
  <r>
    <n v="730"/>
    <x v="279"/>
    <s v="CUST730"/>
    <x v="1"/>
    <n v="36"/>
    <x v="1"/>
    <n v="2"/>
    <n v="25"/>
    <n v="50"/>
    <x v="8"/>
    <x v="0"/>
    <s v="Q3"/>
    <d v="2023-08-01T00:00:00"/>
    <s v="30-39"/>
  </r>
  <r>
    <n v="731"/>
    <x v="318"/>
    <s v="CUST731"/>
    <x v="0"/>
    <n v="54"/>
    <x v="1"/>
    <n v="4"/>
    <n v="500"/>
    <n v="2000"/>
    <x v="3"/>
    <x v="0"/>
    <s v="Q2"/>
    <d v="2023-05-01T00:00:00"/>
    <s v="50+"/>
  </r>
  <r>
    <n v="732"/>
    <x v="213"/>
    <s v="CUST732"/>
    <x v="0"/>
    <n v="61"/>
    <x v="2"/>
    <n v="2"/>
    <n v="500"/>
    <n v="1000"/>
    <x v="1"/>
    <x v="0"/>
    <s v="Q1"/>
    <d v="2023-02-01T00:00:00"/>
    <s v="50+"/>
  </r>
  <r>
    <n v="733"/>
    <x v="261"/>
    <s v="CUST733"/>
    <x v="0"/>
    <n v="34"/>
    <x v="0"/>
    <n v="1"/>
    <n v="30"/>
    <n v="30"/>
    <x v="8"/>
    <x v="0"/>
    <s v="Q3"/>
    <d v="2023-08-01T00:00:00"/>
    <s v="30-39"/>
  </r>
  <r>
    <n v="734"/>
    <x v="141"/>
    <s v="CUST734"/>
    <x v="1"/>
    <n v="27"/>
    <x v="1"/>
    <n v="1"/>
    <n v="30"/>
    <n v="30"/>
    <x v="2"/>
    <x v="0"/>
    <s v="Q1"/>
    <d v="2023-01-01T00:00:00"/>
    <s v="20-29"/>
  </r>
  <r>
    <n v="735"/>
    <x v="135"/>
    <s v="CUST735"/>
    <x v="1"/>
    <n v="64"/>
    <x v="1"/>
    <n v="4"/>
    <n v="500"/>
    <n v="2000"/>
    <x v="7"/>
    <x v="0"/>
    <s v="Q4"/>
    <d v="2023-10-01T00:00:00"/>
    <s v="50+"/>
  </r>
  <r>
    <n v="736"/>
    <x v="246"/>
    <s v="CUST736"/>
    <x v="0"/>
    <n v="29"/>
    <x v="1"/>
    <n v="4"/>
    <n v="25"/>
    <n v="100"/>
    <x v="2"/>
    <x v="0"/>
    <s v="Q1"/>
    <d v="2023-01-01T00:00:00"/>
    <s v="20-29"/>
  </r>
  <r>
    <n v="737"/>
    <x v="263"/>
    <s v="CUST737"/>
    <x v="1"/>
    <n v="33"/>
    <x v="1"/>
    <n v="1"/>
    <n v="50"/>
    <n v="50"/>
    <x v="10"/>
    <x v="0"/>
    <s v="Q2"/>
    <d v="2023-06-01T00:00:00"/>
    <s v="30-39"/>
  </r>
  <r>
    <n v="738"/>
    <x v="5"/>
    <s v="CUST738"/>
    <x v="0"/>
    <n v="41"/>
    <x v="1"/>
    <n v="2"/>
    <n v="50"/>
    <n v="100"/>
    <x v="4"/>
    <x v="0"/>
    <s v="Q2"/>
    <d v="2023-04-01T00:00:00"/>
    <s v="40-49"/>
  </r>
  <r>
    <n v="739"/>
    <x v="23"/>
    <s v="CUST739"/>
    <x v="0"/>
    <n v="36"/>
    <x v="0"/>
    <n v="1"/>
    <n v="25"/>
    <n v="25"/>
    <x v="0"/>
    <x v="0"/>
    <s v="Q4"/>
    <d v="2023-11-01T00:00:00"/>
    <s v="30-39"/>
  </r>
  <r>
    <n v="740"/>
    <x v="57"/>
    <s v="CUST740"/>
    <x v="1"/>
    <n v="25"/>
    <x v="0"/>
    <n v="4"/>
    <n v="50"/>
    <n v="200"/>
    <x v="1"/>
    <x v="0"/>
    <s v="Q1"/>
    <d v="2023-02-01T00:00:00"/>
    <s v="20-29"/>
  </r>
  <r>
    <n v="741"/>
    <x v="198"/>
    <s v="CUST741"/>
    <x v="0"/>
    <n v="48"/>
    <x v="1"/>
    <n v="1"/>
    <n v="300"/>
    <n v="300"/>
    <x v="0"/>
    <x v="0"/>
    <s v="Q4"/>
    <d v="2023-11-01T00:00:00"/>
    <s v="40-49"/>
  </r>
  <r>
    <n v="742"/>
    <x v="219"/>
    <s v="CUST742"/>
    <x v="1"/>
    <n v="38"/>
    <x v="2"/>
    <n v="4"/>
    <n v="500"/>
    <n v="2000"/>
    <x v="2"/>
    <x v="0"/>
    <s v="Q1"/>
    <d v="2023-01-01T00:00:00"/>
    <s v="30-39"/>
  </r>
  <r>
    <n v="743"/>
    <x v="14"/>
    <s v="CUST743"/>
    <x v="1"/>
    <n v="34"/>
    <x v="0"/>
    <n v="4"/>
    <n v="500"/>
    <n v="2000"/>
    <x v="2"/>
    <x v="0"/>
    <s v="Q1"/>
    <d v="2023-01-01T00:00:00"/>
    <s v="30-39"/>
  </r>
  <r>
    <n v="744"/>
    <x v="98"/>
    <s v="CUST744"/>
    <x v="0"/>
    <n v="40"/>
    <x v="2"/>
    <n v="1"/>
    <n v="25"/>
    <n v="25"/>
    <x v="3"/>
    <x v="0"/>
    <s v="Q2"/>
    <d v="2023-05-01T00:00:00"/>
    <s v="40-49"/>
  </r>
  <r>
    <n v="745"/>
    <x v="157"/>
    <s v="CUST745"/>
    <x v="0"/>
    <n v="54"/>
    <x v="0"/>
    <n v="2"/>
    <n v="50"/>
    <n v="100"/>
    <x v="4"/>
    <x v="0"/>
    <s v="Q2"/>
    <d v="2023-04-01T00:00:00"/>
    <s v="50+"/>
  </r>
  <r>
    <n v="746"/>
    <x v="166"/>
    <s v="CUST746"/>
    <x v="1"/>
    <n v="33"/>
    <x v="1"/>
    <n v="3"/>
    <n v="30"/>
    <n v="90"/>
    <x v="2"/>
    <x v="0"/>
    <s v="Q1"/>
    <d v="2023-01-01T00:00:00"/>
    <s v="30-39"/>
  </r>
  <r>
    <n v="747"/>
    <x v="229"/>
    <s v="CUST747"/>
    <x v="0"/>
    <n v="23"/>
    <x v="0"/>
    <n v="1"/>
    <n v="30"/>
    <n v="30"/>
    <x v="0"/>
    <x v="0"/>
    <s v="Q4"/>
    <d v="2023-11-01T00:00:00"/>
    <s v="20-29"/>
  </r>
  <r>
    <n v="748"/>
    <x v="111"/>
    <s v="CUST748"/>
    <x v="0"/>
    <n v="25"/>
    <x v="1"/>
    <n v="3"/>
    <n v="50"/>
    <n v="150"/>
    <x v="5"/>
    <x v="0"/>
    <s v="Q1"/>
    <d v="2023-03-01T00:00:00"/>
    <s v="20-29"/>
  </r>
  <r>
    <n v="749"/>
    <x v="143"/>
    <s v="CUST749"/>
    <x v="0"/>
    <n v="42"/>
    <x v="0"/>
    <n v="1"/>
    <n v="30"/>
    <n v="30"/>
    <x v="3"/>
    <x v="0"/>
    <s v="Q2"/>
    <d v="2023-05-01T00:00:00"/>
    <s v="40-49"/>
  </r>
  <r>
    <n v="750"/>
    <x v="149"/>
    <s v="CUST750"/>
    <x v="1"/>
    <n v="35"/>
    <x v="1"/>
    <n v="3"/>
    <n v="25"/>
    <n v="75"/>
    <x v="5"/>
    <x v="0"/>
    <s v="Q1"/>
    <d v="2023-03-01T00:00:00"/>
    <s v="30-39"/>
  </r>
  <r>
    <n v="751"/>
    <x v="178"/>
    <s v="CUST751"/>
    <x v="1"/>
    <n v="42"/>
    <x v="1"/>
    <n v="2"/>
    <n v="25"/>
    <n v="50"/>
    <x v="8"/>
    <x v="0"/>
    <s v="Q3"/>
    <d v="2023-08-01T00:00:00"/>
    <s v="40-49"/>
  </r>
  <r>
    <n v="752"/>
    <x v="174"/>
    <s v="CUST752"/>
    <x v="0"/>
    <n v="29"/>
    <x v="1"/>
    <n v="2"/>
    <n v="50"/>
    <n v="100"/>
    <x v="6"/>
    <x v="0"/>
    <s v="Q4"/>
    <d v="2023-12-01T00:00:00"/>
    <s v="20-29"/>
  </r>
  <r>
    <n v="753"/>
    <x v="122"/>
    <s v="CUST753"/>
    <x v="1"/>
    <n v="32"/>
    <x v="1"/>
    <n v="1"/>
    <n v="30"/>
    <n v="30"/>
    <x v="1"/>
    <x v="0"/>
    <s v="Q1"/>
    <d v="2023-02-01T00:00:00"/>
    <s v="30-39"/>
  </r>
  <r>
    <n v="754"/>
    <x v="230"/>
    <s v="CUST754"/>
    <x v="1"/>
    <n v="43"/>
    <x v="2"/>
    <n v="4"/>
    <n v="25"/>
    <n v="100"/>
    <x v="7"/>
    <x v="0"/>
    <s v="Q4"/>
    <d v="2023-10-01T00:00:00"/>
    <s v="40-49"/>
  </r>
  <r>
    <n v="755"/>
    <x v="16"/>
    <s v="CUST755"/>
    <x v="1"/>
    <n v="58"/>
    <x v="1"/>
    <n v="3"/>
    <n v="25"/>
    <n v="75"/>
    <x v="4"/>
    <x v="0"/>
    <s v="Q2"/>
    <d v="2023-04-01T00:00:00"/>
    <s v="50+"/>
  </r>
  <r>
    <n v="756"/>
    <x v="286"/>
    <s v="CUST756"/>
    <x v="1"/>
    <n v="62"/>
    <x v="2"/>
    <n v="4"/>
    <n v="300"/>
    <n v="1200"/>
    <x v="8"/>
    <x v="0"/>
    <s v="Q3"/>
    <d v="2023-08-01T00:00:00"/>
    <s v="50+"/>
  </r>
  <r>
    <n v="757"/>
    <x v="319"/>
    <s v="CUST757"/>
    <x v="1"/>
    <n v="43"/>
    <x v="2"/>
    <n v="4"/>
    <n v="300"/>
    <n v="1200"/>
    <x v="6"/>
    <x v="0"/>
    <s v="Q4"/>
    <d v="2023-12-01T00:00:00"/>
    <s v="40-49"/>
  </r>
  <r>
    <n v="758"/>
    <x v="320"/>
    <s v="CUST758"/>
    <x v="0"/>
    <n v="64"/>
    <x v="1"/>
    <n v="4"/>
    <n v="25"/>
    <n v="100"/>
    <x v="3"/>
    <x v="0"/>
    <s v="Q2"/>
    <d v="2023-05-01T00:00:00"/>
    <s v="50+"/>
  </r>
  <r>
    <n v="759"/>
    <x v="321"/>
    <s v="CUST759"/>
    <x v="0"/>
    <n v="49"/>
    <x v="2"/>
    <n v="2"/>
    <n v="50"/>
    <n v="100"/>
    <x v="11"/>
    <x v="0"/>
    <s v="Q3"/>
    <d v="2023-07-01T00:00:00"/>
    <s v="40-49"/>
  </r>
  <r>
    <n v="760"/>
    <x v="200"/>
    <s v="CUST760"/>
    <x v="0"/>
    <n v="27"/>
    <x v="0"/>
    <n v="1"/>
    <n v="500"/>
    <n v="500"/>
    <x v="5"/>
    <x v="0"/>
    <s v="Q1"/>
    <d v="2023-03-01T00:00:00"/>
    <s v="20-29"/>
  </r>
  <r>
    <n v="761"/>
    <x v="155"/>
    <s v="CUST761"/>
    <x v="1"/>
    <n v="33"/>
    <x v="1"/>
    <n v="1"/>
    <n v="500"/>
    <n v="500"/>
    <x v="0"/>
    <x v="0"/>
    <s v="Q4"/>
    <d v="2023-11-01T00:00:00"/>
    <s v="30-39"/>
  </r>
  <r>
    <n v="762"/>
    <x v="155"/>
    <s v="CUST762"/>
    <x v="1"/>
    <n v="24"/>
    <x v="2"/>
    <n v="2"/>
    <n v="25"/>
    <n v="50"/>
    <x v="0"/>
    <x v="0"/>
    <s v="Q4"/>
    <d v="2023-11-01T00:00:00"/>
    <s v="20-29"/>
  </r>
  <r>
    <n v="763"/>
    <x v="122"/>
    <s v="CUST763"/>
    <x v="0"/>
    <n v="34"/>
    <x v="1"/>
    <n v="2"/>
    <n v="25"/>
    <n v="50"/>
    <x v="1"/>
    <x v="0"/>
    <s v="Q1"/>
    <d v="2023-02-01T00:00:00"/>
    <s v="30-39"/>
  </r>
  <r>
    <n v="764"/>
    <x v="66"/>
    <s v="CUST764"/>
    <x v="1"/>
    <n v="40"/>
    <x v="1"/>
    <n v="1"/>
    <n v="25"/>
    <n v="25"/>
    <x v="5"/>
    <x v="0"/>
    <s v="Q1"/>
    <d v="2023-03-01T00:00:00"/>
    <s v="40-49"/>
  </r>
  <r>
    <n v="765"/>
    <x v="159"/>
    <s v="CUST765"/>
    <x v="0"/>
    <n v="43"/>
    <x v="1"/>
    <n v="4"/>
    <n v="50"/>
    <n v="200"/>
    <x v="10"/>
    <x v="0"/>
    <s v="Q2"/>
    <d v="2023-06-01T00:00:00"/>
    <s v="40-49"/>
  </r>
  <r>
    <n v="766"/>
    <x v="192"/>
    <s v="CUST766"/>
    <x v="0"/>
    <n v="38"/>
    <x v="2"/>
    <n v="3"/>
    <n v="300"/>
    <n v="900"/>
    <x v="1"/>
    <x v="0"/>
    <s v="Q1"/>
    <d v="2023-02-01T00:00:00"/>
    <s v="30-39"/>
  </r>
  <r>
    <n v="767"/>
    <x v="208"/>
    <s v="CUST767"/>
    <x v="0"/>
    <n v="39"/>
    <x v="0"/>
    <n v="3"/>
    <n v="25"/>
    <n v="75"/>
    <x v="7"/>
    <x v="0"/>
    <s v="Q4"/>
    <d v="2023-10-01T00:00:00"/>
    <s v="30-39"/>
  </r>
  <r>
    <n v="768"/>
    <x v="20"/>
    <s v="CUST768"/>
    <x v="1"/>
    <n v="24"/>
    <x v="0"/>
    <n v="3"/>
    <n v="25"/>
    <n v="75"/>
    <x v="2"/>
    <x v="0"/>
    <s v="Q1"/>
    <d v="2023-01-01T00:00:00"/>
    <s v="20-29"/>
  </r>
  <r>
    <n v="769"/>
    <x v="159"/>
    <s v="CUST769"/>
    <x v="1"/>
    <n v="31"/>
    <x v="2"/>
    <n v="4"/>
    <n v="30"/>
    <n v="120"/>
    <x v="10"/>
    <x v="0"/>
    <s v="Q2"/>
    <d v="2023-06-01T00:00:00"/>
    <s v="30-39"/>
  </r>
  <r>
    <n v="770"/>
    <x v="293"/>
    <s v="CUST770"/>
    <x v="0"/>
    <n v="32"/>
    <x v="1"/>
    <n v="1"/>
    <n v="50"/>
    <n v="50"/>
    <x v="7"/>
    <x v="0"/>
    <s v="Q4"/>
    <d v="2023-10-01T00:00:00"/>
    <s v="30-39"/>
  </r>
  <r>
    <n v="771"/>
    <x v="8"/>
    <s v="CUST771"/>
    <x v="0"/>
    <n v="24"/>
    <x v="2"/>
    <n v="2"/>
    <n v="25"/>
    <n v="50"/>
    <x v="6"/>
    <x v="0"/>
    <s v="Q4"/>
    <d v="2023-12-01T00:00:00"/>
    <s v="20-29"/>
  </r>
  <r>
    <n v="772"/>
    <x v="322"/>
    <s v="CUST772"/>
    <x v="0"/>
    <n v="26"/>
    <x v="2"/>
    <n v="1"/>
    <n v="30"/>
    <n v="30"/>
    <x v="11"/>
    <x v="0"/>
    <s v="Q3"/>
    <d v="2023-07-01T00:00:00"/>
    <s v="20-29"/>
  </r>
  <r>
    <n v="773"/>
    <x v="323"/>
    <s v="CUST773"/>
    <x v="0"/>
    <n v="25"/>
    <x v="2"/>
    <n v="4"/>
    <n v="500"/>
    <n v="2000"/>
    <x v="11"/>
    <x v="0"/>
    <s v="Q3"/>
    <d v="2023-07-01T00:00:00"/>
    <s v="20-29"/>
  </r>
  <r>
    <n v="774"/>
    <x v="22"/>
    <s v="CUST774"/>
    <x v="1"/>
    <n v="40"/>
    <x v="1"/>
    <n v="2"/>
    <n v="25"/>
    <n v="50"/>
    <x v="4"/>
    <x v="0"/>
    <s v="Q2"/>
    <d v="2023-04-01T00:00:00"/>
    <s v="40-49"/>
  </r>
  <r>
    <n v="775"/>
    <x v="195"/>
    <s v="CUST775"/>
    <x v="1"/>
    <n v="46"/>
    <x v="2"/>
    <n v="4"/>
    <n v="25"/>
    <n v="100"/>
    <x v="1"/>
    <x v="0"/>
    <s v="Q1"/>
    <d v="2023-02-01T00:00:00"/>
    <s v="40-49"/>
  </r>
  <r>
    <n v="776"/>
    <x v="315"/>
    <s v="CUST776"/>
    <x v="0"/>
    <n v="35"/>
    <x v="1"/>
    <n v="3"/>
    <n v="30"/>
    <n v="90"/>
    <x v="7"/>
    <x v="0"/>
    <s v="Q4"/>
    <d v="2023-10-01T00:00:00"/>
    <s v="30-39"/>
  </r>
  <r>
    <n v="777"/>
    <x v="156"/>
    <s v="CUST777"/>
    <x v="0"/>
    <n v="48"/>
    <x v="2"/>
    <n v="3"/>
    <n v="50"/>
    <n v="150"/>
    <x v="6"/>
    <x v="0"/>
    <s v="Q4"/>
    <d v="2023-12-01T00:00:00"/>
    <s v="40-49"/>
  </r>
  <r>
    <n v="778"/>
    <x v="51"/>
    <s v="CUST778"/>
    <x v="1"/>
    <n v="47"/>
    <x v="0"/>
    <n v="4"/>
    <n v="25"/>
    <n v="100"/>
    <x v="0"/>
    <x v="0"/>
    <s v="Q4"/>
    <d v="2023-11-01T00:00:00"/>
    <s v="40-49"/>
  </r>
  <r>
    <n v="779"/>
    <x v="179"/>
    <s v="CUST779"/>
    <x v="1"/>
    <n v="56"/>
    <x v="2"/>
    <n v="2"/>
    <n v="500"/>
    <n v="1000"/>
    <x v="3"/>
    <x v="0"/>
    <s v="Q2"/>
    <d v="2023-05-01T00:00:00"/>
    <s v="50+"/>
  </r>
  <r>
    <n v="780"/>
    <x v="7"/>
    <s v="CUST780"/>
    <x v="0"/>
    <n v="52"/>
    <x v="2"/>
    <n v="2"/>
    <n v="25"/>
    <n v="50"/>
    <x v="1"/>
    <x v="0"/>
    <s v="Q1"/>
    <d v="2023-02-01T00:00:00"/>
    <s v="50+"/>
  </r>
  <r>
    <n v="781"/>
    <x v="204"/>
    <s v="CUST781"/>
    <x v="0"/>
    <n v="35"/>
    <x v="0"/>
    <n v="1"/>
    <n v="500"/>
    <n v="500"/>
    <x v="6"/>
    <x v="0"/>
    <s v="Q4"/>
    <d v="2023-12-01T00:00:00"/>
    <s v="30-39"/>
  </r>
  <r>
    <n v="782"/>
    <x v="234"/>
    <s v="CUST782"/>
    <x v="0"/>
    <n v="59"/>
    <x v="1"/>
    <n v="3"/>
    <n v="300"/>
    <n v="900"/>
    <x v="10"/>
    <x v="0"/>
    <s v="Q2"/>
    <d v="2023-06-01T00:00:00"/>
    <s v="50+"/>
  </r>
  <r>
    <n v="783"/>
    <x v="82"/>
    <s v="CUST783"/>
    <x v="1"/>
    <n v="56"/>
    <x v="1"/>
    <n v="1"/>
    <n v="300"/>
    <n v="300"/>
    <x v="6"/>
    <x v="0"/>
    <s v="Q4"/>
    <d v="2023-12-01T00:00:00"/>
    <s v="50+"/>
  </r>
  <r>
    <n v="784"/>
    <x v="324"/>
    <s v="CUST784"/>
    <x v="1"/>
    <n v="34"/>
    <x v="2"/>
    <n v="1"/>
    <n v="500"/>
    <n v="500"/>
    <x v="0"/>
    <x v="0"/>
    <s v="Q4"/>
    <d v="2023-11-01T00:00:00"/>
    <s v="30-39"/>
  </r>
  <r>
    <n v="785"/>
    <x v="163"/>
    <s v="CUST785"/>
    <x v="1"/>
    <n v="31"/>
    <x v="0"/>
    <n v="4"/>
    <n v="50"/>
    <n v="200"/>
    <x v="5"/>
    <x v="0"/>
    <s v="Q1"/>
    <d v="2023-03-01T00:00:00"/>
    <s v="30-39"/>
  </r>
  <r>
    <n v="786"/>
    <x v="222"/>
    <s v="CUST786"/>
    <x v="0"/>
    <n v="48"/>
    <x v="1"/>
    <n v="4"/>
    <n v="25"/>
    <n v="100"/>
    <x v="7"/>
    <x v="0"/>
    <s v="Q4"/>
    <d v="2023-10-01T00:00:00"/>
    <s v="40-49"/>
  </r>
  <r>
    <n v="787"/>
    <x v="256"/>
    <s v="CUST787"/>
    <x v="0"/>
    <n v="41"/>
    <x v="2"/>
    <n v="1"/>
    <n v="25"/>
    <n v="25"/>
    <x v="2"/>
    <x v="0"/>
    <s v="Q1"/>
    <d v="2023-01-01T00:00:00"/>
    <s v="40-49"/>
  </r>
  <r>
    <n v="788"/>
    <x v="325"/>
    <s v="CUST788"/>
    <x v="1"/>
    <n v="52"/>
    <x v="0"/>
    <n v="3"/>
    <n v="300"/>
    <n v="900"/>
    <x v="10"/>
    <x v="0"/>
    <s v="Q2"/>
    <d v="2023-06-01T00:00:00"/>
    <s v="50+"/>
  </r>
  <r>
    <n v="789"/>
    <x v="148"/>
    <s v="CUST789"/>
    <x v="1"/>
    <n v="61"/>
    <x v="1"/>
    <n v="4"/>
    <n v="500"/>
    <n v="2000"/>
    <x v="9"/>
    <x v="0"/>
    <s v="Q3"/>
    <d v="2023-09-01T00:00:00"/>
    <s v="50+"/>
  </r>
  <r>
    <n v="790"/>
    <x v="102"/>
    <s v="CUST790"/>
    <x v="0"/>
    <n v="62"/>
    <x v="1"/>
    <n v="1"/>
    <n v="25"/>
    <n v="25"/>
    <x v="8"/>
    <x v="0"/>
    <s v="Q3"/>
    <d v="2023-08-01T00:00:00"/>
    <s v="50+"/>
  </r>
  <r>
    <n v="791"/>
    <x v="59"/>
    <s v="CUST791"/>
    <x v="1"/>
    <n v="51"/>
    <x v="0"/>
    <n v="1"/>
    <n v="25"/>
    <n v="25"/>
    <x v="6"/>
    <x v="0"/>
    <s v="Q4"/>
    <d v="2023-12-01T00:00:00"/>
    <s v="50+"/>
  </r>
  <r>
    <n v="792"/>
    <x v="67"/>
    <s v="CUST792"/>
    <x v="1"/>
    <n v="20"/>
    <x v="0"/>
    <n v="1"/>
    <n v="50"/>
    <n v="50"/>
    <x v="11"/>
    <x v="0"/>
    <s v="Q3"/>
    <d v="2023-07-01T00:00:00"/>
    <s v="20-29"/>
  </r>
  <r>
    <n v="793"/>
    <x v="57"/>
    <s v="CUST793"/>
    <x v="0"/>
    <n v="54"/>
    <x v="0"/>
    <n v="1"/>
    <n v="30"/>
    <n v="30"/>
    <x v="1"/>
    <x v="0"/>
    <s v="Q1"/>
    <d v="2023-02-01T00:00:00"/>
    <s v="50+"/>
  </r>
  <r>
    <n v="794"/>
    <x v="129"/>
    <s v="CUST794"/>
    <x v="1"/>
    <n v="60"/>
    <x v="0"/>
    <n v="1"/>
    <n v="300"/>
    <n v="300"/>
    <x v="9"/>
    <x v="0"/>
    <s v="Q3"/>
    <d v="2023-09-01T00:00:00"/>
    <s v="50+"/>
  </r>
  <r>
    <n v="795"/>
    <x v="73"/>
    <s v="CUST795"/>
    <x v="0"/>
    <n v="57"/>
    <x v="2"/>
    <n v="1"/>
    <n v="300"/>
    <n v="300"/>
    <x v="0"/>
    <x v="0"/>
    <s v="Q4"/>
    <d v="2023-11-01T00:00:00"/>
    <s v="50+"/>
  </r>
  <r>
    <n v="796"/>
    <x v="33"/>
    <s v="CUST796"/>
    <x v="0"/>
    <n v="43"/>
    <x v="0"/>
    <n v="4"/>
    <n v="30"/>
    <n v="120"/>
    <x v="10"/>
    <x v="0"/>
    <s v="Q2"/>
    <d v="2023-06-01T00:00:00"/>
    <s v="40-49"/>
  </r>
  <r>
    <n v="797"/>
    <x v="326"/>
    <s v="CUST797"/>
    <x v="0"/>
    <n v="40"/>
    <x v="1"/>
    <n v="3"/>
    <n v="25"/>
    <n v="75"/>
    <x v="2"/>
    <x v="0"/>
    <s v="Q1"/>
    <d v="2023-01-01T00:00:00"/>
    <s v="40-49"/>
  </r>
  <r>
    <n v="798"/>
    <x v="279"/>
    <s v="CUST798"/>
    <x v="0"/>
    <n v="61"/>
    <x v="1"/>
    <n v="1"/>
    <n v="50"/>
    <n v="50"/>
    <x v="8"/>
    <x v="0"/>
    <s v="Q3"/>
    <d v="2023-08-01T00:00:00"/>
    <s v="50+"/>
  </r>
  <r>
    <n v="799"/>
    <x v="140"/>
    <s v="CUST799"/>
    <x v="0"/>
    <n v="56"/>
    <x v="2"/>
    <n v="2"/>
    <n v="50"/>
    <n v="100"/>
    <x v="9"/>
    <x v="0"/>
    <s v="Q3"/>
    <d v="2023-09-01T00:00:00"/>
    <s v="50+"/>
  </r>
  <r>
    <n v="800"/>
    <x v="130"/>
    <s v="CUST800"/>
    <x v="0"/>
    <n v="32"/>
    <x v="1"/>
    <n v="4"/>
    <n v="300"/>
    <n v="1200"/>
    <x v="1"/>
    <x v="0"/>
    <s v="Q1"/>
    <d v="2023-02-01T00:00:00"/>
    <s v="30-39"/>
  </r>
  <r>
    <n v="801"/>
    <x v="327"/>
    <s v="CUST801"/>
    <x v="0"/>
    <n v="21"/>
    <x v="1"/>
    <n v="4"/>
    <n v="50"/>
    <n v="200"/>
    <x v="8"/>
    <x v="0"/>
    <s v="Q3"/>
    <d v="2023-08-01T00:00:00"/>
    <s v="20-29"/>
  </r>
  <r>
    <n v="802"/>
    <x v="53"/>
    <s v="CUST802"/>
    <x v="1"/>
    <n v="46"/>
    <x v="0"/>
    <n v="1"/>
    <n v="30"/>
    <n v="30"/>
    <x v="11"/>
    <x v="0"/>
    <s v="Q3"/>
    <d v="2023-07-01T00:00:00"/>
    <s v="40-49"/>
  </r>
  <r>
    <n v="803"/>
    <x v="64"/>
    <s v="CUST803"/>
    <x v="0"/>
    <n v="39"/>
    <x v="1"/>
    <n v="4"/>
    <n v="25"/>
    <n v="100"/>
    <x v="0"/>
    <x v="0"/>
    <s v="Q4"/>
    <d v="2023-11-01T00:00:00"/>
    <s v="30-39"/>
  </r>
  <r>
    <n v="804"/>
    <x v="44"/>
    <s v="CUST804"/>
    <x v="0"/>
    <n v="42"/>
    <x v="2"/>
    <n v="1"/>
    <n v="30"/>
    <n v="30"/>
    <x v="8"/>
    <x v="0"/>
    <s v="Q3"/>
    <d v="2023-08-01T00:00:00"/>
    <s v="40-49"/>
  </r>
  <r>
    <n v="805"/>
    <x v="167"/>
    <s v="CUST805"/>
    <x v="1"/>
    <n v="30"/>
    <x v="0"/>
    <n v="3"/>
    <n v="500"/>
    <n v="1500"/>
    <x v="6"/>
    <x v="0"/>
    <s v="Q4"/>
    <d v="2023-12-01T00:00:00"/>
    <s v="30-39"/>
  </r>
  <r>
    <n v="806"/>
    <x v="111"/>
    <s v="CUST806"/>
    <x v="1"/>
    <n v="35"/>
    <x v="0"/>
    <n v="3"/>
    <n v="300"/>
    <n v="900"/>
    <x v="5"/>
    <x v="0"/>
    <s v="Q1"/>
    <d v="2023-03-01T00:00:00"/>
    <s v="30-39"/>
  </r>
  <r>
    <n v="807"/>
    <x v="124"/>
    <s v="CUST807"/>
    <x v="1"/>
    <n v="50"/>
    <x v="2"/>
    <n v="4"/>
    <n v="50"/>
    <n v="200"/>
    <x v="8"/>
    <x v="0"/>
    <s v="Q3"/>
    <d v="2023-08-01T00:00:00"/>
    <s v="50+"/>
  </r>
  <r>
    <n v="808"/>
    <x v="258"/>
    <s v="CUST808"/>
    <x v="0"/>
    <n v="33"/>
    <x v="0"/>
    <n v="4"/>
    <n v="500"/>
    <n v="2000"/>
    <x v="4"/>
    <x v="0"/>
    <s v="Q2"/>
    <d v="2023-04-01T00:00:00"/>
    <s v="30-39"/>
  </r>
  <r>
    <n v="809"/>
    <x v="223"/>
    <s v="CUST809"/>
    <x v="1"/>
    <n v="62"/>
    <x v="0"/>
    <n v="2"/>
    <n v="50"/>
    <n v="100"/>
    <x v="9"/>
    <x v="0"/>
    <s v="Q3"/>
    <d v="2023-09-01T00:00:00"/>
    <s v="50+"/>
  </r>
  <r>
    <n v="810"/>
    <x v="198"/>
    <s v="CUST810"/>
    <x v="0"/>
    <n v="59"/>
    <x v="2"/>
    <n v="4"/>
    <n v="25"/>
    <n v="100"/>
    <x v="0"/>
    <x v="0"/>
    <s v="Q4"/>
    <d v="2023-11-01T00:00:00"/>
    <s v="50+"/>
  </r>
  <r>
    <n v="811"/>
    <x v="79"/>
    <s v="CUST811"/>
    <x v="0"/>
    <n v="61"/>
    <x v="0"/>
    <n v="2"/>
    <n v="25"/>
    <n v="50"/>
    <x v="3"/>
    <x v="0"/>
    <s v="Q2"/>
    <d v="2023-05-01T00:00:00"/>
    <s v="50+"/>
  </r>
  <r>
    <n v="812"/>
    <x v="281"/>
    <s v="CUST812"/>
    <x v="0"/>
    <n v="19"/>
    <x v="2"/>
    <n v="3"/>
    <n v="25"/>
    <n v="75"/>
    <x v="0"/>
    <x v="0"/>
    <s v="Q4"/>
    <d v="2023-11-01T00:00:00"/>
    <s v="Under 20"/>
  </r>
  <r>
    <n v="813"/>
    <x v="99"/>
    <s v="CUST813"/>
    <x v="0"/>
    <n v="52"/>
    <x v="2"/>
    <n v="3"/>
    <n v="50"/>
    <n v="150"/>
    <x v="7"/>
    <x v="0"/>
    <s v="Q4"/>
    <d v="2023-10-01T00:00:00"/>
    <s v="50+"/>
  </r>
  <r>
    <n v="814"/>
    <x v="328"/>
    <s v="CUST814"/>
    <x v="1"/>
    <n v="59"/>
    <x v="1"/>
    <n v="1"/>
    <n v="500"/>
    <n v="500"/>
    <x v="9"/>
    <x v="0"/>
    <s v="Q3"/>
    <d v="2023-09-01T00:00:00"/>
    <s v="50+"/>
  </r>
  <r>
    <n v="815"/>
    <x v="286"/>
    <s v="CUST815"/>
    <x v="1"/>
    <n v="51"/>
    <x v="1"/>
    <n v="3"/>
    <n v="25"/>
    <n v="75"/>
    <x v="8"/>
    <x v="0"/>
    <s v="Q3"/>
    <d v="2023-08-01T00:00:00"/>
    <s v="50+"/>
  </r>
  <r>
    <n v="816"/>
    <x v="269"/>
    <s v="CUST816"/>
    <x v="0"/>
    <n v="47"/>
    <x v="0"/>
    <n v="2"/>
    <n v="500"/>
    <n v="1000"/>
    <x v="8"/>
    <x v="0"/>
    <s v="Q3"/>
    <d v="2023-08-01T00:00:00"/>
    <s v="40-49"/>
  </r>
  <r>
    <n v="817"/>
    <x v="315"/>
    <s v="CUST817"/>
    <x v="0"/>
    <n v="30"/>
    <x v="0"/>
    <n v="4"/>
    <n v="50"/>
    <n v="200"/>
    <x v="7"/>
    <x v="0"/>
    <s v="Q4"/>
    <d v="2023-10-01T00:00:00"/>
    <s v="30-39"/>
  </r>
  <r>
    <n v="818"/>
    <x v="88"/>
    <s v="CUST818"/>
    <x v="0"/>
    <n v="30"/>
    <x v="2"/>
    <n v="1"/>
    <n v="500"/>
    <n v="500"/>
    <x v="3"/>
    <x v="0"/>
    <s v="Q2"/>
    <d v="2023-05-01T00:00:00"/>
    <s v="30-39"/>
  </r>
  <r>
    <n v="819"/>
    <x v="139"/>
    <s v="CUST819"/>
    <x v="1"/>
    <n v="35"/>
    <x v="0"/>
    <n v="2"/>
    <n v="50"/>
    <n v="100"/>
    <x v="10"/>
    <x v="0"/>
    <s v="Q2"/>
    <d v="2023-06-01T00:00:00"/>
    <s v="30-39"/>
  </r>
  <r>
    <n v="820"/>
    <x v="4"/>
    <s v="CUST820"/>
    <x v="0"/>
    <n v="49"/>
    <x v="2"/>
    <n v="4"/>
    <n v="50"/>
    <n v="200"/>
    <x v="3"/>
    <x v="0"/>
    <s v="Q2"/>
    <d v="2023-05-01T00:00:00"/>
    <s v="40-49"/>
  </r>
  <r>
    <n v="821"/>
    <x v="10"/>
    <s v="CUST821"/>
    <x v="0"/>
    <n v="49"/>
    <x v="2"/>
    <n v="1"/>
    <n v="300"/>
    <n v="300"/>
    <x v="1"/>
    <x v="0"/>
    <s v="Q1"/>
    <d v="2023-02-01T00:00:00"/>
    <s v="40-49"/>
  </r>
  <r>
    <n v="822"/>
    <x v="29"/>
    <s v="CUST822"/>
    <x v="1"/>
    <n v="52"/>
    <x v="0"/>
    <n v="3"/>
    <n v="50"/>
    <n v="150"/>
    <x v="3"/>
    <x v="0"/>
    <s v="Q2"/>
    <d v="2023-05-01T00:00:00"/>
    <s v="50+"/>
  </r>
  <r>
    <n v="823"/>
    <x v="304"/>
    <s v="CUST823"/>
    <x v="1"/>
    <n v="56"/>
    <x v="2"/>
    <n v="2"/>
    <n v="50"/>
    <n v="100"/>
    <x v="8"/>
    <x v="0"/>
    <s v="Q3"/>
    <d v="2023-08-01T00:00:00"/>
    <s v="50+"/>
  </r>
  <r>
    <n v="824"/>
    <x v="179"/>
    <s v="CUST824"/>
    <x v="0"/>
    <n v="63"/>
    <x v="1"/>
    <n v="4"/>
    <n v="30"/>
    <n v="120"/>
    <x v="3"/>
    <x v="0"/>
    <s v="Q2"/>
    <d v="2023-05-01T00:00:00"/>
    <s v="50+"/>
  </r>
  <r>
    <n v="825"/>
    <x v="300"/>
    <s v="CUST825"/>
    <x v="1"/>
    <n v="46"/>
    <x v="0"/>
    <n v="1"/>
    <n v="25"/>
    <n v="25"/>
    <x v="8"/>
    <x v="0"/>
    <s v="Q3"/>
    <d v="2023-08-01T00:00:00"/>
    <s v="40-49"/>
  </r>
  <r>
    <n v="826"/>
    <x v="218"/>
    <s v="CUST826"/>
    <x v="1"/>
    <n v="46"/>
    <x v="1"/>
    <n v="1"/>
    <n v="300"/>
    <n v="300"/>
    <x v="7"/>
    <x v="0"/>
    <s v="Q4"/>
    <d v="2023-10-01T00:00:00"/>
    <s v="40-49"/>
  </r>
  <r>
    <n v="827"/>
    <x v="289"/>
    <s v="CUST827"/>
    <x v="0"/>
    <n v="61"/>
    <x v="0"/>
    <n v="3"/>
    <n v="300"/>
    <n v="900"/>
    <x v="0"/>
    <x v="0"/>
    <s v="Q4"/>
    <d v="2023-11-01T00:00:00"/>
    <s v="50+"/>
  </r>
  <r>
    <n v="828"/>
    <x v="174"/>
    <s v="CUST828"/>
    <x v="1"/>
    <n v="33"/>
    <x v="2"/>
    <n v="4"/>
    <n v="300"/>
    <n v="1200"/>
    <x v="6"/>
    <x v="0"/>
    <s v="Q4"/>
    <d v="2023-12-01T00:00:00"/>
    <s v="30-39"/>
  </r>
  <r>
    <n v="829"/>
    <x v="37"/>
    <s v="CUST829"/>
    <x v="0"/>
    <n v="61"/>
    <x v="0"/>
    <n v="3"/>
    <n v="30"/>
    <n v="90"/>
    <x v="11"/>
    <x v="0"/>
    <s v="Q3"/>
    <d v="2023-07-01T00:00:00"/>
    <s v="50+"/>
  </r>
  <r>
    <n v="830"/>
    <x v="36"/>
    <s v="CUST830"/>
    <x v="1"/>
    <n v="64"/>
    <x v="1"/>
    <n v="3"/>
    <n v="50"/>
    <n v="150"/>
    <x v="10"/>
    <x v="0"/>
    <s v="Q2"/>
    <d v="2023-06-01T00:00:00"/>
    <s v="50+"/>
  </r>
  <r>
    <n v="831"/>
    <x v="267"/>
    <s v="CUST831"/>
    <x v="0"/>
    <n v="27"/>
    <x v="2"/>
    <n v="4"/>
    <n v="25"/>
    <n v="100"/>
    <x v="2"/>
    <x v="0"/>
    <s v="Q1"/>
    <d v="2023-01-01T00:00:00"/>
    <s v="20-29"/>
  </r>
  <r>
    <n v="832"/>
    <x v="296"/>
    <s v="CUST832"/>
    <x v="0"/>
    <n v="47"/>
    <x v="0"/>
    <n v="4"/>
    <n v="500"/>
    <n v="2000"/>
    <x v="9"/>
    <x v="0"/>
    <s v="Q3"/>
    <d v="2023-09-01T00:00:00"/>
    <s v="40-49"/>
  </r>
  <r>
    <n v="833"/>
    <x v="83"/>
    <s v="CUST833"/>
    <x v="0"/>
    <n v="42"/>
    <x v="0"/>
    <n v="4"/>
    <n v="50"/>
    <n v="200"/>
    <x v="10"/>
    <x v="0"/>
    <s v="Q2"/>
    <d v="2023-06-01T00:00:00"/>
    <s v="40-49"/>
  </r>
  <r>
    <n v="834"/>
    <x v="194"/>
    <s v="CUST834"/>
    <x v="1"/>
    <n v="56"/>
    <x v="0"/>
    <n v="2"/>
    <n v="30"/>
    <n v="60"/>
    <x v="4"/>
    <x v="0"/>
    <s v="Q2"/>
    <d v="2023-04-01T00:00:00"/>
    <s v="50+"/>
  </r>
  <r>
    <n v="835"/>
    <x v="206"/>
    <s v="CUST835"/>
    <x v="0"/>
    <n v="37"/>
    <x v="1"/>
    <n v="4"/>
    <n v="50"/>
    <n v="200"/>
    <x v="9"/>
    <x v="0"/>
    <s v="Q3"/>
    <d v="2023-09-01T00:00:00"/>
    <s v="30-39"/>
  </r>
  <r>
    <n v="836"/>
    <x v="90"/>
    <s v="CUST836"/>
    <x v="1"/>
    <n v="22"/>
    <x v="1"/>
    <n v="1"/>
    <n v="50"/>
    <n v="50"/>
    <x v="4"/>
    <x v="0"/>
    <s v="Q2"/>
    <d v="2023-04-01T00:00:00"/>
    <s v="20-29"/>
  </r>
  <r>
    <n v="837"/>
    <x v="68"/>
    <s v="CUST837"/>
    <x v="0"/>
    <n v="18"/>
    <x v="0"/>
    <n v="3"/>
    <n v="30"/>
    <n v="90"/>
    <x v="11"/>
    <x v="0"/>
    <s v="Q3"/>
    <d v="2023-07-01T00:00:00"/>
    <s v="Under 20"/>
  </r>
  <r>
    <n v="838"/>
    <x v="305"/>
    <s v="CUST838"/>
    <x v="0"/>
    <n v="47"/>
    <x v="2"/>
    <n v="2"/>
    <n v="300"/>
    <n v="600"/>
    <x v="3"/>
    <x v="0"/>
    <s v="Q2"/>
    <d v="2023-05-01T00:00:00"/>
    <s v="40-49"/>
  </r>
  <r>
    <n v="839"/>
    <x v="33"/>
    <s v="CUST839"/>
    <x v="1"/>
    <n v="20"/>
    <x v="2"/>
    <n v="4"/>
    <n v="300"/>
    <n v="1200"/>
    <x v="10"/>
    <x v="0"/>
    <s v="Q2"/>
    <d v="2023-06-01T00:00:00"/>
    <s v="20-29"/>
  </r>
  <r>
    <n v="840"/>
    <x v="329"/>
    <s v="CUST840"/>
    <x v="0"/>
    <n v="62"/>
    <x v="1"/>
    <n v="2"/>
    <n v="25"/>
    <n v="50"/>
    <x v="3"/>
    <x v="0"/>
    <s v="Q2"/>
    <d v="2023-05-01T00:00:00"/>
    <s v="50+"/>
  </r>
  <r>
    <n v="841"/>
    <x v="113"/>
    <s v="CUST841"/>
    <x v="0"/>
    <n v="31"/>
    <x v="2"/>
    <n v="4"/>
    <n v="25"/>
    <n v="100"/>
    <x v="0"/>
    <x v="0"/>
    <s v="Q4"/>
    <d v="2023-11-01T00:00:00"/>
    <s v="30-39"/>
  </r>
  <r>
    <n v="842"/>
    <x v="24"/>
    <s v="CUST842"/>
    <x v="1"/>
    <n v="47"/>
    <x v="1"/>
    <n v="2"/>
    <n v="300"/>
    <n v="600"/>
    <x v="6"/>
    <x v="0"/>
    <s v="Q4"/>
    <d v="2023-12-01T00:00:00"/>
    <s v="40-49"/>
  </r>
  <r>
    <n v="843"/>
    <x v="247"/>
    <s v="CUST843"/>
    <x v="0"/>
    <n v="21"/>
    <x v="0"/>
    <n v="3"/>
    <n v="500"/>
    <n v="1500"/>
    <x v="3"/>
    <x v="0"/>
    <s v="Q2"/>
    <d v="2023-05-01T00:00:00"/>
    <s v="20-29"/>
  </r>
  <r>
    <n v="844"/>
    <x v="205"/>
    <s v="CUST844"/>
    <x v="0"/>
    <n v="35"/>
    <x v="1"/>
    <n v="3"/>
    <n v="50"/>
    <n v="150"/>
    <x v="7"/>
    <x v="0"/>
    <s v="Q4"/>
    <d v="2023-10-01T00:00:00"/>
    <s v="30-39"/>
  </r>
  <r>
    <n v="845"/>
    <x v="121"/>
    <s v="CUST845"/>
    <x v="0"/>
    <n v="54"/>
    <x v="1"/>
    <n v="1"/>
    <n v="500"/>
    <n v="500"/>
    <x v="2"/>
    <x v="0"/>
    <s v="Q1"/>
    <d v="2023-01-01T00:00:00"/>
    <s v="50+"/>
  </r>
  <r>
    <n v="846"/>
    <x v="161"/>
    <s v="CUST846"/>
    <x v="0"/>
    <n v="42"/>
    <x v="0"/>
    <n v="1"/>
    <n v="50"/>
    <n v="50"/>
    <x v="9"/>
    <x v="0"/>
    <s v="Q3"/>
    <d v="2023-09-01T00:00:00"/>
    <s v="40-49"/>
  </r>
  <r>
    <n v="847"/>
    <x v="181"/>
    <s v="CUST847"/>
    <x v="1"/>
    <n v="18"/>
    <x v="2"/>
    <n v="4"/>
    <n v="300"/>
    <n v="1200"/>
    <x v="4"/>
    <x v="0"/>
    <s v="Q2"/>
    <d v="2023-04-01T00:00:00"/>
    <s v="Under 20"/>
  </r>
  <r>
    <n v="848"/>
    <x v="146"/>
    <s v="CUST848"/>
    <x v="1"/>
    <n v="63"/>
    <x v="1"/>
    <n v="3"/>
    <n v="25"/>
    <n v="75"/>
    <x v="1"/>
    <x v="0"/>
    <s v="Q1"/>
    <d v="2023-02-01T00:00:00"/>
    <s v="50+"/>
  </r>
  <r>
    <n v="849"/>
    <x v="145"/>
    <s v="CUST849"/>
    <x v="0"/>
    <n v="32"/>
    <x v="1"/>
    <n v="2"/>
    <n v="25"/>
    <n v="50"/>
    <x v="3"/>
    <x v="0"/>
    <s v="Q2"/>
    <d v="2023-05-01T00:00:00"/>
    <s v="30-39"/>
  </r>
  <r>
    <n v="850"/>
    <x v="180"/>
    <s v="CUST850"/>
    <x v="1"/>
    <n v="26"/>
    <x v="0"/>
    <n v="2"/>
    <n v="500"/>
    <n v="1000"/>
    <x v="11"/>
    <x v="0"/>
    <s v="Q3"/>
    <d v="2023-07-01T00:00:00"/>
    <s v="20-29"/>
  </r>
  <r>
    <n v="851"/>
    <x v="140"/>
    <s v="CUST851"/>
    <x v="0"/>
    <n v="32"/>
    <x v="2"/>
    <n v="2"/>
    <n v="25"/>
    <n v="50"/>
    <x v="9"/>
    <x v="0"/>
    <s v="Q3"/>
    <d v="2023-09-01T00:00:00"/>
    <s v="30-39"/>
  </r>
  <r>
    <n v="852"/>
    <x v="205"/>
    <s v="CUST852"/>
    <x v="1"/>
    <n v="41"/>
    <x v="1"/>
    <n v="1"/>
    <n v="300"/>
    <n v="300"/>
    <x v="7"/>
    <x v="0"/>
    <s v="Q4"/>
    <d v="2023-10-01T00:00:00"/>
    <s v="40-49"/>
  </r>
  <r>
    <n v="853"/>
    <x v="145"/>
    <s v="CUST853"/>
    <x v="0"/>
    <n v="21"/>
    <x v="0"/>
    <n v="2"/>
    <n v="500"/>
    <n v="1000"/>
    <x v="3"/>
    <x v="0"/>
    <s v="Q2"/>
    <d v="2023-05-01T00:00:00"/>
    <s v="20-29"/>
  </r>
  <r>
    <n v="854"/>
    <x v="156"/>
    <s v="CUST854"/>
    <x v="0"/>
    <n v="29"/>
    <x v="1"/>
    <n v="1"/>
    <n v="50"/>
    <n v="50"/>
    <x v="6"/>
    <x v="0"/>
    <s v="Q4"/>
    <d v="2023-12-01T00:00:00"/>
    <s v="20-29"/>
  </r>
  <r>
    <n v="855"/>
    <x v="152"/>
    <s v="CUST855"/>
    <x v="0"/>
    <n v="54"/>
    <x v="0"/>
    <n v="1"/>
    <n v="25"/>
    <n v="25"/>
    <x v="9"/>
    <x v="0"/>
    <s v="Q3"/>
    <d v="2023-09-01T00:00:00"/>
    <s v="50+"/>
  </r>
  <r>
    <n v="856"/>
    <x v="188"/>
    <s v="CUST856"/>
    <x v="0"/>
    <n v="54"/>
    <x v="2"/>
    <n v="4"/>
    <n v="30"/>
    <n v="120"/>
    <x v="0"/>
    <x v="0"/>
    <s v="Q4"/>
    <d v="2023-11-01T00:00:00"/>
    <s v="50+"/>
  </r>
  <r>
    <n v="857"/>
    <x v="330"/>
    <s v="CUST857"/>
    <x v="0"/>
    <n v="60"/>
    <x v="2"/>
    <n v="2"/>
    <n v="25"/>
    <n v="50"/>
    <x v="6"/>
    <x v="0"/>
    <s v="Q4"/>
    <d v="2023-12-01T00:00:00"/>
    <s v="50+"/>
  </r>
  <r>
    <n v="858"/>
    <x v="331"/>
    <s v="CUST858"/>
    <x v="0"/>
    <n v="23"/>
    <x v="2"/>
    <n v="2"/>
    <n v="50"/>
    <n v="100"/>
    <x v="9"/>
    <x v="0"/>
    <s v="Q3"/>
    <d v="2023-09-01T00:00:00"/>
    <s v="20-29"/>
  </r>
  <r>
    <n v="859"/>
    <x v="27"/>
    <s v="CUST859"/>
    <x v="1"/>
    <n v="56"/>
    <x v="2"/>
    <n v="3"/>
    <n v="500"/>
    <n v="1500"/>
    <x v="8"/>
    <x v="0"/>
    <s v="Q3"/>
    <d v="2023-08-01T00:00:00"/>
    <s v="50+"/>
  </r>
  <r>
    <n v="860"/>
    <x v="332"/>
    <s v="CUST860"/>
    <x v="0"/>
    <n v="63"/>
    <x v="1"/>
    <n v="4"/>
    <n v="50"/>
    <n v="200"/>
    <x v="2"/>
    <x v="0"/>
    <s v="Q1"/>
    <d v="2023-01-01T00:00:00"/>
    <s v="50+"/>
  </r>
  <r>
    <n v="861"/>
    <x v="15"/>
    <s v="CUST861"/>
    <x v="1"/>
    <n v="41"/>
    <x v="1"/>
    <n v="3"/>
    <n v="30"/>
    <n v="90"/>
    <x v="1"/>
    <x v="0"/>
    <s v="Q1"/>
    <d v="2023-02-01T00:00:00"/>
    <s v="40-49"/>
  </r>
  <r>
    <n v="862"/>
    <x v="50"/>
    <s v="CUST862"/>
    <x v="0"/>
    <n v="28"/>
    <x v="2"/>
    <n v="4"/>
    <n v="300"/>
    <n v="1200"/>
    <x v="3"/>
    <x v="0"/>
    <s v="Q2"/>
    <d v="2023-05-01T00:00:00"/>
    <s v="20-29"/>
  </r>
  <r>
    <n v="863"/>
    <x v="262"/>
    <s v="CUST863"/>
    <x v="1"/>
    <n v="30"/>
    <x v="2"/>
    <n v="2"/>
    <n v="25"/>
    <n v="50"/>
    <x v="4"/>
    <x v="0"/>
    <s v="Q2"/>
    <d v="2023-04-01T00:00:00"/>
    <s v="30-39"/>
  </r>
  <r>
    <n v="864"/>
    <x v="282"/>
    <s v="CUST864"/>
    <x v="1"/>
    <n v="51"/>
    <x v="2"/>
    <n v="1"/>
    <n v="500"/>
    <n v="500"/>
    <x v="11"/>
    <x v="0"/>
    <s v="Q3"/>
    <d v="2023-07-01T00:00:00"/>
    <s v="50+"/>
  </r>
  <r>
    <n v="865"/>
    <x v="333"/>
    <s v="CUST865"/>
    <x v="1"/>
    <n v="42"/>
    <x v="1"/>
    <n v="1"/>
    <n v="300"/>
    <n v="300"/>
    <x v="6"/>
    <x v="0"/>
    <s v="Q4"/>
    <d v="2023-12-01T00:00:00"/>
    <s v="40-49"/>
  </r>
  <r>
    <n v="866"/>
    <x v="179"/>
    <s v="CUST866"/>
    <x v="0"/>
    <n v="24"/>
    <x v="2"/>
    <n v="1"/>
    <n v="50"/>
    <n v="50"/>
    <x v="3"/>
    <x v="0"/>
    <s v="Q2"/>
    <d v="2023-05-01T00:00:00"/>
    <s v="20-29"/>
  </r>
  <r>
    <n v="867"/>
    <x v="264"/>
    <s v="CUST867"/>
    <x v="0"/>
    <n v="21"/>
    <x v="2"/>
    <n v="1"/>
    <n v="500"/>
    <n v="500"/>
    <x v="10"/>
    <x v="0"/>
    <s v="Q2"/>
    <d v="2023-06-01T00:00:00"/>
    <s v="20-29"/>
  </r>
  <r>
    <n v="868"/>
    <x v="237"/>
    <s v="CUST868"/>
    <x v="1"/>
    <n v="25"/>
    <x v="2"/>
    <n v="1"/>
    <n v="300"/>
    <n v="300"/>
    <x v="6"/>
    <x v="0"/>
    <s v="Q4"/>
    <d v="2023-12-01T00:00:00"/>
    <s v="20-29"/>
  </r>
  <r>
    <n v="869"/>
    <x v="268"/>
    <s v="CUST869"/>
    <x v="0"/>
    <n v="37"/>
    <x v="0"/>
    <n v="3"/>
    <n v="500"/>
    <n v="1500"/>
    <x v="7"/>
    <x v="0"/>
    <s v="Q4"/>
    <d v="2023-10-01T00:00:00"/>
    <s v="30-39"/>
  </r>
  <r>
    <n v="870"/>
    <x v="321"/>
    <s v="CUST870"/>
    <x v="1"/>
    <n v="46"/>
    <x v="2"/>
    <n v="4"/>
    <n v="30"/>
    <n v="120"/>
    <x v="11"/>
    <x v="0"/>
    <s v="Q3"/>
    <d v="2023-07-01T00:00:00"/>
    <s v="40-49"/>
  </r>
  <r>
    <n v="871"/>
    <x v="178"/>
    <s v="CUST871"/>
    <x v="0"/>
    <n v="62"/>
    <x v="0"/>
    <n v="2"/>
    <n v="30"/>
    <n v="60"/>
    <x v="8"/>
    <x v="0"/>
    <s v="Q3"/>
    <d v="2023-08-01T00:00:00"/>
    <s v="50+"/>
  </r>
  <r>
    <n v="872"/>
    <x v="120"/>
    <s v="CUST872"/>
    <x v="1"/>
    <n v="63"/>
    <x v="0"/>
    <n v="3"/>
    <n v="25"/>
    <n v="75"/>
    <x v="7"/>
    <x v="0"/>
    <s v="Q4"/>
    <d v="2023-10-01T00:00:00"/>
    <s v="50+"/>
  </r>
  <r>
    <n v="873"/>
    <x v="136"/>
    <s v="CUST873"/>
    <x v="1"/>
    <n v="27"/>
    <x v="2"/>
    <n v="4"/>
    <n v="25"/>
    <n v="100"/>
    <x v="9"/>
    <x v="0"/>
    <s v="Q3"/>
    <d v="2023-09-01T00:00:00"/>
    <s v="20-29"/>
  </r>
  <r>
    <n v="874"/>
    <x v="40"/>
    <s v="CUST874"/>
    <x v="0"/>
    <n v="60"/>
    <x v="0"/>
    <n v="1"/>
    <n v="30"/>
    <n v="30"/>
    <x v="10"/>
    <x v="0"/>
    <s v="Q2"/>
    <d v="2023-06-01T00:00:00"/>
    <s v="50+"/>
  </r>
  <r>
    <n v="875"/>
    <x v="298"/>
    <s v="CUST875"/>
    <x v="1"/>
    <n v="51"/>
    <x v="2"/>
    <n v="4"/>
    <n v="500"/>
    <n v="2000"/>
    <x v="8"/>
    <x v="0"/>
    <s v="Q3"/>
    <d v="2023-08-01T00:00:00"/>
    <s v="50+"/>
  </r>
  <r>
    <n v="876"/>
    <x v="153"/>
    <s v="CUST876"/>
    <x v="0"/>
    <n v="43"/>
    <x v="1"/>
    <n v="4"/>
    <n v="30"/>
    <n v="120"/>
    <x v="7"/>
    <x v="0"/>
    <s v="Q4"/>
    <d v="2023-10-01T00:00:00"/>
    <s v="40-49"/>
  </r>
  <r>
    <n v="877"/>
    <x v="171"/>
    <s v="CUST877"/>
    <x v="1"/>
    <n v="58"/>
    <x v="1"/>
    <n v="1"/>
    <n v="25"/>
    <n v="25"/>
    <x v="10"/>
    <x v="0"/>
    <s v="Q2"/>
    <d v="2023-06-01T00:00:00"/>
    <s v="50+"/>
  </r>
  <r>
    <n v="878"/>
    <x v="313"/>
    <s v="CUST878"/>
    <x v="1"/>
    <n v="20"/>
    <x v="1"/>
    <n v="1"/>
    <n v="30"/>
    <n v="30"/>
    <x v="10"/>
    <x v="0"/>
    <s v="Q2"/>
    <d v="2023-06-01T00:00:00"/>
    <s v="20-29"/>
  </r>
  <r>
    <n v="879"/>
    <x v="24"/>
    <s v="CUST879"/>
    <x v="0"/>
    <n v="23"/>
    <x v="1"/>
    <n v="1"/>
    <n v="30"/>
    <n v="30"/>
    <x v="6"/>
    <x v="0"/>
    <s v="Q4"/>
    <d v="2023-12-01T00:00:00"/>
    <s v="20-29"/>
  </r>
  <r>
    <n v="880"/>
    <x v="63"/>
    <s v="CUST880"/>
    <x v="0"/>
    <n v="22"/>
    <x v="0"/>
    <n v="2"/>
    <n v="500"/>
    <n v="1000"/>
    <x v="8"/>
    <x v="0"/>
    <s v="Q3"/>
    <d v="2023-08-01T00:00:00"/>
    <s v="20-29"/>
  </r>
  <r>
    <n v="881"/>
    <x v="79"/>
    <s v="CUST881"/>
    <x v="0"/>
    <n v="22"/>
    <x v="2"/>
    <n v="1"/>
    <n v="300"/>
    <n v="300"/>
    <x v="3"/>
    <x v="0"/>
    <s v="Q2"/>
    <d v="2023-05-01T00:00:00"/>
    <s v="20-29"/>
  </r>
  <r>
    <n v="882"/>
    <x v="264"/>
    <s v="CUST882"/>
    <x v="1"/>
    <n v="64"/>
    <x v="2"/>
    <n v="2"/>
    <n v="25"/>
    <n v="50"/>
    <x v="10"/>
    <x v="0"/>
    <s v="Q2"/>
    <d v="2023-06-01T00:00:00"/>
    <s v="50+"/>
  </r>
  <r>
    <n v="883"/>
    <x v="119"/>
    <s v="CUST883"/>
    <x v="0"/>
    <n v="40"/>
    <x v="2"/>
    <n v="1"/>
    <n v="500"/>
    <n v="500"/>
    <x v="3"/>
    <x v="0"/>
    <s v="Q2"/>
    <d v="2023-05-01T00:00:00"/>
    <s v="40-49"/>
  </r>
  <r>
    <n v="884"/>
    <x v="310"/>
    <s v="CUST884"/>
    <x v="1"/>
    <n v="26"/>
    <x v="1"/>
    <n v="2"/>
    <n v="30"/>
    <n v="60"/>
    <x v="4"/>
    <x v="0"/>
    <s v="Q2"/>
    <d v="2023-04-01T00:00:00"/>
    <s v="20-29"/>
  </r>
  <r>
    <n v="885"/>
    <x v="163"/>
    <s v="CUST885"/>
    <x v="1"/>
    <n v="52"/>
    <x v="1"/>
    <n v="4"/>
    <n v="30"/>
    <n v="120"/>
    <x v="5"/>
    <x v="0"/>
    <s v="Q1"/>
    <d v="2023-03-01T00:00:00"/>
    <s v="50+"/>
  </r>
  <r>
    <n v="886"/>
    <x v="55"/>
    <s v="CUST886"/>
    <x v="0"/>
    <n v="37"/>
    <x v="2"/>
    <n v="3"/>
    <n v="300"/>
    <n v="900"/>
    <x v="4"/>
    <x v="0"/>
    <s v="Q2"/>
    <d v="2023-04-01T00:00:00"/>
    <s v="30-39"/>
  </r>
  <r>
    <n v="887"/>
    <x v="86"/>
    <s v="CUST887"/>
    <x v="0"/>
    <n v="59"/>
    <x v="1"/>
    <n v="4"/>
    <n v="25"/>
    <n v="100"/>
    <x v="10"/>
    <x v="0"/>
    <s v="Q2"/>
    <d v="2023-06-01T00:00:00"/>
    <s v="50+"/>
  </r>
  <r>
    <n v="888"/>
    <x v="163"/>
    <s v="CUST888"/>
    <x v="1"/>
    <n v="52"/>
    <x v="2"/>
    <n v="4"/>
    <n v="25"/>
    <n v="100"/>
    <x v="5"/>
    <x v="0"/>
    <s v="Q1"/>
    <d v="2023-03-01T00:00:00"/>
    <s v="50+"/>
  </r>
  <r>
    <n v="889"/>
    <x v="45"/>
    <s v="CUST889"/>
    <x v="1"/>
    <n v="35"/>
    <x v="2"/>
    <n v="1"/>
    <n v="50"/>
    <n v="50"/>
    <x v="7"/>
    <x v="0"/>
    <s v="Q4"/>
    <d v="2023-10-01T00:00:00"/>
    <s v="30-39"/>
  </r>
  <r>
    <n v="890"/>
    <x v="156"/>
    <s v="CUST890"/>
    <x v="0"/>
    <n v="34"/>
    <x v="2"/>
    <n v="2"/>
    <n v="25"/>
    <n v="50"/>
    <x v="6"/>
    <x v="0"/>
    <s v="Q4"/>
    <d v="2023-12-01T00:00:00"/>
    <s v="30-39"/>
  </r>
  <r>
    <n v="891"/>
    <x v="334"/>
    <s v="CUST891"/>
    <x v="0"/>
    <n v="41"/>
    <x v="2"/>
    <n v="3"/>
    <n v="300"/>
    <n v="900"/>
    <x v="4"/>
    <x v="0"/>
    <s v="Q2"/>
    <d v="2023-04-01T00:00:00"/>
    <s v="40-49"/>
  </r>
  <r>
    <n v="892"/>
    <x v="55"/>
    <s v="CUST892"/>
    <x v="0"/>
    <n v="20"/>
    <x v="2"/>
    <n v="1"/>
    <n v="50"/>
    <n v="50"/>
    <x v="4"/>
    <x v="0"/>
    <s v="Q2"/>
    <d v="2023-04-01T00:00:00"/>
    <s v="20-29"/>
  </r>
  <r>
    <n v="893"/>
    <x v="35"/>
    <s v="CUST893"/>
    <x v="0"/>
    <n v="49"/>
    <x v="2"/>
    <n v="1"/>
    <n v="50"/>
    <n v="50"/>
    <x v="4"/>
    <x v="0"/>
    <s v="Q2"/>
    <d v="2023-04-01T00:00:00"/>
    <s v="40-49"/>
  </r>
  <r>
    <n v="894"/>
    <x v="328"/>
    <s v="CUST894"/>
    <x v="0"/>
    <n v="52"/>
    <x v="2"/>
    <n v="1"/>
    <n v="30"/>
    <n v="30"/>
    <x v="9"/>
    <x v="0"/>
    <s v="Q3"/>
    <d v="2023-09-01T00:00:00"/>
    <s v="50+"/>
  </r>
  <r>
    <n v="895"/>
    <x v="247"/>
    <s v="CUST895"/>
    <x v="1"/>
    <n v="55"/>
    <x v="1"/>
    <n v="4"/>
    <n v="30"/>
    <n v="120"/>
    <x v="3"/>
    <x v="0"/>
    <s v="Q2"/>
    <d v="2023-05-01T00:00:00"/>
    <s v="50+"/>
  </r>
  <r>
    <n v="896"/>
    <x v="28"/>
    <s v="CUST896"/>
    <x v="1"/>
    <n v="30"/>
    <x v="2"/>
    <n v="2"/>
    <n v="25"/>
    <n v="50"/>
    <x v="7"/>
    <x v="0"/>
    <s v="Q4"/>
    <d v="2023-10-01T00:00:00"/>
    <s v="30-39"/>
  </r>
  <r>
    <n v="897"/>
    <x v="335"/>
    <s v="CUST897"/>
    <x v="1"/>
    <n v="64"/>
    <x v="2"/>
    <n v="2"/>
    <n v="50"/>
    <n v="100"/>
    <x v="9"/>
    <x v="0"/>
    <s v="Q3"/>
    <d v="2023-09-01T00:00:00"/>
    <s v="50+"/>
  </r>
  <r>
    <n v="898"/>
    <x v="113"/>
    <s v="CUST898"/>
    <x v="1"/>
    <n v="42"/>
    <x v="1"/>
    <n v="3"/>
    <n v="30"/>
    <n v="90"/>
    <x v="0"/>
    <x v="0"/>
    <s v="Q4"/>
    <d v="2023-11-01T00:00:00"/>
    <s v="40-49"/>
  </r>
  <r>
    <n v="899"/>
    <x v="242"/>
    <s v="CUST899"/>
    <x v="0"/>
    <n v="26"/>
    <x v="1"/>
    <n v="2"/>
    <n v="300"/>
    <n v="600"/>
    <x v="3"/>
    <x v="0"/>
    <s v="Q2"/>
    <d v="2023-05-01T00:00:00"/>
    <s v="20-29"/>
  </r>
  <r>
    <n v="900"/>
    <x v="62"/>
    <s v="CUST900"/>
    <x v="0"/>
    <n v="21"/>
    <x v="1"/>
    <n v="2"/>
    <n v="30"/>
    <n v="60"/>
    <x v="1"/>
    <x v="0"/>
    <s v="Q1"/>
    <d v="2023-02-01T00:00:00"/>
    <s v="20-29"/>
  </r>
  <r>
    <n v="901"/>
    <x v="294"/>
    <s v="CUST901"/>
    <x v="0"/>
    <n v="31"/>
    <x v="2"/>
    <n v="1"/>
    <n v="30"/>
    <n v="30"/>
    <x v="4"/>
    <x v="0"/>
    <s v="Q2"/>
    <d v="2023-04-01T00:00:00"/>
    <s v="30-39"/>
  </r>
  <r>
    <n v="902"/>
    <x v="207"/>
    <s v="CUST902"/>
    <x v="1"/>
    <n v="54"/>
    <x v="0"/>
    <n v="1"/>
    <n v="50"/>
    <n v="50"/>
    <x v="10"/>
    <x v="0"/>
    <s v="Q2"/>
    <d v="2023-06-01T00:00:00"/>
    <s v="50+"/>
  </r>
  <r>
    <n v="903"/>
    <x v="60"/>
    <s v="CUST903"/>
    <x v="1"/>
    <n v="51"/>
    <x v="0"/>
    <n v="4"/>
    <n v="50"/>
    <n v="200"/>
    <x v="4"/>
    <x v="0"/>
    <s v="Q2"/>
    <d v="2023-04-01T00:00:00"/>
    <s v="50+"/>
  </r>
  <r>
    <n v="904"/>
    <x v="336"/>
    <s v="CUST904"/>
    <x v="0"/>
    <n v="28"/>
    <x v="1"/>
    <n v="1"/>
    <n v="500"/>
    <n v="500"/>
    <x v="11"/>
    <x v="0"/>
    <s v="Q3"/>
    <d v="2023-07-01T00:00:00"/>
    <s v="20-29"/>
  </r>
  <r>
    <n v="905"/>
    <x v="128"/>
    <s v="CUST905"/>
    <x v="0"/>
    <n v="58"/>
    <x v="0"/>
    <n v="1"/>
    <n v="300"/>
    <n v="300"/>
    <x v="4"/>
    <x v="0"/>
    <s v="Q2"/>
    <d v="2023-04-01T00:00:00"/>
    <s v="50+"/>
  </r>
  <r>
    <n v="906"/>
    <x v="234"/>
    <s v="CUST906"/>
    <x v="1"/>
    <n v="20"/>
    <x v="1"/>
    <n v="1"/>
    <n v="50"/>
    <n v="50"/>
    <x v="10"/>
    <x v="0"/>
    <s v="Q2"/>
    <d v="2023-06-01T00:00:00"/>
    <s v="20-29"/>
  </r>
  <r>
    <n v="907"/>
    <x v="199"/>
    <s v="CUST907"/>
    <x v="1"/>
    <n v="45"/>
    <x v="2"/>
    <n v="1"/>
    <n v="25"/>
    <n v="25"/>
    <x v="2"/>
    <x v="0"/>
    <s v="Q1"/>
    <d v="2023-01-01T00:00:00"/>
    <s v="40-49"/>
  </r>
  <r>
    <n v="908"/>
    <x v="167"/>
    <s v="CUST908"/>
    <x v="0"/>
    <n v="46"/>
    <x v="0"/>
    <n v="4"/>
    <n v="300"/>
    <n v="1200"/>
    <x v="6"/>
    <x v="0"/>
    <s v="Q4"/>
    <d v="2023-12-01T00:00:00"/>
    <s v="40-49"/>
  </r>
  <r>
    <n v="909"/>
    <x v="77"/>
    <s v="CUST909"/>
    <x v="0"/>
    <n v="26"/>
    <x v="2"/>
    <n v="1"/>
    <n v="300"/>
    <n v="300"/>
    <x v="7"/>
    <x v="0"/>
    <s v="Q4"/>
    <d v="2023-10-01T00:00:00"/>
    <s v="20-29"/>
  </r>
  <r>
    <n v="910"/>
    <x v="149"/>
    <s v="CUST910"/>
    <x v="1"/>
    <n v="20"/>
    <x v="0"/>
    <n v="3"/>
    <n v="50"/>
    <n v="150"/>
    <x v="5"/>
    <x v="0"/>
    <s v="Q1"/>
    <d v="2023-03-01T00:00:00"/>
    <s v="20-29"/>
  </r>
  <r>
    <n v="911"/>
    <x v="3"/>
    <s v="CUST911"/>
    <x v="0"/>
    <n v="42"/>
    <x v="2"/>
    <n v="3"/>
    <n v="300"/>
    <n v="900"/>
    <x v="3"/>
    <x v="0"/>
    <s v="Q2"/>
    <d v="2023-05-01T00:00:00"/>
    <s v="40-49"/>
  </r>
  <r>
    <n v="912"/>
    <x v="58"/>
    <s v="CUST912"/>
    <x v="0"/>
    <n v="51"/>
    <x v="0"/>
    <n v="3"/>
    <n v="50"/>
    <n v="150"/>
    <x v="2"/>
    <x v="0"/>
    <s v="Q1"/>
    <d v="2023-01-01T00:00:00"/>
    <s v="50+"/>
  </r>
  <r>
    <n v="913"/>
    <x v="185"/>
    <s v="CUST913"/>
    <x v="0"/>
    <n v="29"/>
    <x v="2"/>
    <n v="3"/>
    <n v="30"/>
    <n v="90"/>
    <x v="2"/>
    <x v="0"/>
    <s v="Q1"/>
    <d v="2023-01-01T00:00:00"/>
    <s v="20-29"/>
  </r>
  <r>
    <n v="914"/>
    <x v="120"/>
    <s v="CUST914"/>
    <x v="1"/>
    <n v="59"/>
    <x v="2"/>
    <n v="1"/>
    <n v="500"/>
    <n v="500"/>
    <x v="7"/>
    <x v="0"/>
    <s v="Q4"/>
    <d v="2023-10-01T00:00:00"/>
    <s v="50+"/>
  </r>
  <r>
    <n v="915"/>
    <x v="337"/>
    <s v="CUST915"/>
    <x v="1"/>
    <n v="26"/>
    <x v="0"/>
    <n v="3"/>
    <n v="30"/>
    <n v="90"/>
    <x v="3"/>
    <x v="0"/>
    <s v="Q2"/>
    <d v="2023-05-01T00:00:00"/>
    <s v="20-29"/>
  </r>
  <r>
    <n v="916"/>
    <x v="32"/>
    <s v="CUST916"/>
    <x v="1"/>
    <n v="32"/>
    <x v="2"/>
    <n v="1"/>
    <n v="50"/>
    <n v="50"/>
    <x v="6"/>
    <x v="0"/>
    <s v="Q4"/>
    <d v="2023-12-01T00:00:00"/>
    <s v="30-39"/>
  </r>
  <r>
    <n v="917"/>
    <x v="149"/>
    <s v="CUST917"/>
    <x v="1"/>
    <n v="57"/>
    <x v="2"/>
    <n v="4"/>
    <n v="50"/>
    <n v="200"/>
    <x v="5"/>
    <x v="0"/>
    <s v="Q1"/>
    <d v="2023-03-01T00:00:00"/>
    <s v="50+"/>
  </r>
  <r>
    <n v="918"/>
    <x v="250"/>
    <s v="CUST918"/>
    <x v="1"/>
    <n v="42"/>
    <x v="2"/>
    <n v="3"/>
    <n v="30"/>
    <n v="90"/>
    <x v="0"/>
    <x v="0"/>
    <s v="Q4"/>
    <d v="2023-11-01T00:00:00"/>
    <s v="40-49"/>
  </r>
  <r>
    <n v="919"/>
    <x v="331"/>
    <s v="CUST919"/>
    <x v="1"/>
    <n v="22"/>
    <x v="0"/>
    <n v="2"/>
    <n v="25"/>
    <n v="50"/>
    <x v="9"/>
    <x v="0"/>
    <s v="Q3"/>
    <d v="2023-09-01T00:00:00"/>
    <s v="20-29"/>
  </r>
  <r>
    <n v="920"/>
    <x v="7"/>
    <s v="CUST920"/>
    <x v="1"/>
    <n v="28"/>
    <x v="0"/>
    <n v="3"/>
    <n v="25"/>
    <n v="75"/>
    <x v="1"/>
    <x v="0"/>
    <s v="Q1"/>
    <d v="2023-02-01T00:00:00"/>
    <s v="20-29"/>
  </r>
  <r>
    <n v="921"/>
    <x v="326"/>
    <s v="CUST921"/>
    <x v="0"/>
    <n v="51"/>
    <x v="2"/>
    <n v="3"/>
    <n v="25"/>
    <n v="75"/>
    <x v="2"/>
    <x v="0"/>
    <s v="Q1"/>
    <d v="2023-01-01T00:00:00"/>
    <s v="50+"/>
  </r>
  <r>
    <n v="922"/>
    <x v="338"/>
    <s v="CUST922"/>
    <x v="0"/>
    <n v="41"/>
    <x v="2"/>
    <n v="1"/>
    <n v="50"/>
    <n v="50"/>
    <x v="7"/>
    <x v="0"/>
    <s v="Q4"/>
    <d v="2023-10-01T00:00:00"/>
    <s v="40-49"/>
  </r>
  <r>
    <n v="923"/>
    <x v="232"/>
    <s v="CUST923"/>
    <x v="0"/>
    <n v="32"/>
    <x v="0"/>
    <n v="3"/>
    <n v="300"/>
    <n v="900"/>
    <x v="3"/>
    <x v="0"/>
    <s v="Q2"/>
    <d v="2023-05-01T00:00:00"/>
    <s v="30-39"/>
  </r>
  <r>
    <n v="924"/>
    <x v="261"/>
    <s v="CUST924"/>
    <x v="0"/>
    <n v="55"/>
    <x v="0"/>
    <n v="2"/>
    <n v="50"/>
    <n v="100"/>
    <x v="8"/>
    <x v="0"/>
    <s v="Q3"/>
    <d v="2023-08-01T00:00:00"/>
    <s v="50+"/>
  </r>
  <r>
    <n v="925"/>
    <x v="339"/>
    <s v="CUST925"/>
    <x v="0"/>
    <n v="25"/>
    <x v="2"/>
    <n v="1"/>
    <n v="300"/>
    <n v="300"/>
    <x v="9"/>
    <x v="0"/>
    <s v="Q3"/>
    <d v="2023-09-01T00:00:00"/>
    <s v="20-29"/>
  </r>
  <r>
    <n v="926"/>
    <x v="306"/>
    <s v="CUST926"/>
    <x v="0"/>
    <n v="22"/>
    <x v="2"/>
    <n v="1"/>
    <n v="30"/>
    <n v="30"/>
    <x v="8"/>
    <x v="0"/>
    <s v="Q3"/>
    <d v="2023-08-01T00:00:00"/>
    <s v="20-29"/>
  </r>
  <r>
    <n v="927"/>
    <x v="33"/>
    <s v="CUST927"/>
    <x v="0"/>
    <n v="43"/>
    <x v="2"/>
    <n v="4"/>
    <n v="500"/>
    <n v="2000"/>
    <x v="10"/>
    <x v="0"/>
    <s v="Q2"/>
    <d v="2023-06-01T00:00:00"/>
    <s v="40-49"/>
  </r>
  <r>
    <n v="928"/>
    <x v="334"/>
    <s v="CUST928"/>
    <x v="1"/>
    <n v="35"/>
    <x v="1"/>
    <n v="4"/>
    <n v="300"/>
    <n v="1200"/>
    <x v="4"/>
    <x v="0"/>
    <s v="Q2"/>
    <d v="2023-04-01T00:00:00"/>
    <s v="30-39"/>
  </r>
  <r>
    <n v="929"/>
    <x v="246"/>
    <s v="CUST929"/>
    <x v="1"/>
    <n v="23"/>
    <x v="0"/>
    <n v="3"/>
    <n v="25"/>
    <n v="75"/>
    <x v="2"/>
    <x v="0"/>
    <s v="Q1"/>
    <d v="2023-01-01T00:00:00"/>
    <s v="20-29"/>
  </r>
  <r>
    <n v="930"/>
    <x v="318"/>
    <s v="CUST930"/>
    <x v="0"/>
    <n v="54"/>
    <x v="1"/>
    <n v="4"/>
    <n v="50"/>
    <n v="200"/>
    <x v="3"/>
    <x v="0"/>
    <s v="Q2"/>
    <d v="2023-05-01T00:00:00"/>
    <s v="50+"/>
  </r>
  <r>
    <n v="931"/>
    <x v="211"/>
    <s v="CUST931"/>
    <x v="0"/>
    <n v="30"/>
    <x v="0"/>
    <n v="4"/>
    <n v="30"/>
    <n v="120"/>
    <x v="9"/>
    <x v="0"/>
    <s v="Q3"/>
    <d v="2023-09-01T00:00:00"/>
    <s v="30-39"/>
  </r>
  <r>
    <n v="932"/>
    <x v="122"/>
    <s v="CUST932"/>
    <x v="1"/>
    <n v="45"/>
    <x v="0"/>
    <n v="4"/>
    <n v="25"/>
    <n v="100"/>
    <x v="1"/>
    <x v="0"/>
    <s v="Q1"/>
    <d v="2023-02-01T00:00:00"/>
    <s v="40-49"/>
  </r>
  <r>
    <n v="933"/>
    <x v="89"/>
    <s v="CUST933"/>
    <x v="0"/>
    <n v="22"/>
    <x v="0"/>
    <n v="1"/>
    <n v="30"/>
    <n v="30"/>
    <x v="1"/>
    <x v="0"/>
    <s v="Q1"/>
    <d v="2023-02-01T00:00:00"/>
    <s v="20-29"/>
  </r>
  <r>
    <n v="934"/>
    <x v="87"/>
    <s v="CUST934"/>
    <x v="0"/>
    <n v="30"/>
    <x v="0"/>
    <n v="1"/>
    <n v="500"/>
    <n v="500"/>
    <x v="11"/>
    <x v="0"/>
    <s v="Q3"/>
    <d v="2023-07-01T00:00:00"/>
    <s v="30-39"/>
  </r>
  <r>
    <n v="935"/>
    <x v="331"/>
    <s v="CUST935"/>
    <x v="1"/>
    <n v="34"/>
    <x v="0"/>
    <n v="1"/>
    <n v="50"/>
    <n v="50"/>
    <x v="9"/>
    <x v="0"/>
    <s v="Q3"/>
    <d v="2023-09-01T00:00:00"/>
    <s v="30-39"/>
  </r>
  <r>
    <n v="936"/>
    <x v="227"/>
    <s v="CUST936"/>
    <x v="0"/>
    <n v="57"/>
    <x v="0"/>
    <n v="4"/>
    <n v="50"/>
    <n v="200"/>
    <x v="1"/>
    <x v="0"/>
    <s v="Q1"/>
    <d v="2023-02-01T00:00:00"/>
    <s v="50+"/>
  </r>
  <r>
    <n v="937"/>
    <x v="54"/>
    <s v="CUST937"/>
    <x v="1"/>
    <n v="62"/>
    <x v="0"/>
    <n v="1"/>
    <n v="500"/>
    <n v="500"/>
    <x v="7"/>
    <x v="0"/>
    <s v="Q4"/>
    <d v="2023-10-01T00:00:00"/>
    <s v="50+"/>
  </r>
  <r>
    <n v="938"/>
    <x v="292"/>
    <s v="CUST938"/>
    <x v="0"/>
    <n v="49"/>
    <x v="1"/>
    <n v="4"/>
    <n v="50"/>
    <n v="200"/>
    <x v="0"/>
    <x v="0"/>
    <s v="Q4"/>
    <d v="2023-11-01T00:00:00"/>
    <s v="40-49"/>
  </r>
  <r>
    <n v="939"/>
    <x v="244"/>
    <s v="CUST939"/>
    <x v="1"/>
    <n v="46"/>
    <x v="2"/>
    <n v="1"/>
    <n v="300"/>
    <n v="300"/>
    <x v="6"/>
    <x v="0"/>
    <s v="Q4"/>
    <d v="2023-12-01T00:00:00"/>
    <s v="40-49"/>
  </r>
  <r>
    <n v="940"/>
    <x v="185"/>
    <s v="CUST940"/>
    <x v="1"/>
    <n v="20"/>
    <x v="2"/>
    <n v="1"/>
    <n v="30"/>
    <n v="30"/>
    <x v="2"/>
    <x v="0"/>
    <s v="Q1"/>
    <d v="2023-01-01T00:00:00"/>
    <s v="20-29"/>
  </r>
  <r>
    <n v="941"/>
    <x v="309"/>
    <s v="CUST941"/>
    <x v="1"/>
    <n v="57"/>
    <x v="1"/>
    <n v="2"/>
    <n v="25"/>
    <n v="50"/>
    <x v="5"/>
    <x v="0"/>
    <s v="Q1"/>
    <d v="2023-03-01T00:00:00"/>
    <s v="50+"/>
  </r>
  <r>
    <n v="942"/>
    <x v="253"/>
    <s v="CUST942"/>
    <x v="0"/>
    <n v="51"/>
    <x v="1"/>
    <n v="3"/>
    <n v="500"/>
    <n v="1500"/>
    <x v="5"/>
    <x v="0"/>
    <s v="Q1"/>
    <d v="2023-03-01T00:00:00"/>
    <s v="50+"/>
  </r>
  <r>
    <n v="943"/>
    <x v="230"/>
    <s v="CUST943"/>
    <x v="1"/>
    <n v="57"/>
    <x v="1"/>
    <n v="4"/>
    <n v="300"/>
    <n v="1200"/>
    <x v="7"/>
    <x v="0"/>
    <s v="Q4"/>
    <d v="2023-10-01T00:00:00"/>
    <s v="50+"/>
  </r>
  <r>
    <n v="944"/>
    <x v="284"/>
    <s v="CUST944"/>
    <x v="0"/>
    <n v="44"/>
    <x v="1"/>
    <n v="2"/>
    <n v="25"/>
    <n v="50"/>
    <x v="10"/>
    <x v="0"/>
    <s v="Q2"/>
    <d v="2023-06-01T00:00:00"/>
    <s v="40-49"/>
  </r>
  <r>
    <n v="945"/>
    <x v="146"/>
    <s v="CUST945"/>
    <x v="0"/>
    <n v="30"/>
    <x v="0"/>
    <n v="1"/>
    <n v="25"/>
    <n v="25"/>
    <x v="1"/>
    <x v="0"/>
    <s v="Q1"/>
    <d v="2023-02-01T00:00:00"/>
    <s v="30-39"/>
  </r>
  <r>
    <n v="946"/>
    <x v="193"/>
    <s v="CUST946"/>
    <x v="0"/>
    <n v="62"/>
    <x v="2"/>
    <n v="4"/>
    <n v="500"/>
    <n v="2000"/>
    <x v="3"/>
    <x v="0"/>
    <s v="Q2"/>
    <d v="2023-05-01T00:00:00"/>
    <s v="50+"/>
  </r>
  <r>
    <n v="947"/>
    <x v="340"/>
    <s v="CUST947"/>
    <x v="0"/>
    <n v="50"/>
    <x v="0"/>
    <n v="1"/>
    <n v="300"/>
    <n v="300"/>
    <x v="5"/>
    <x v="0"/>
    <s v="Q1"/>
    <d v="2023-03-01T00:00:00"/>
    <s v="50+"/>
  </r>
  <r>
    <n v="948"/>
    <x v="81"/>
    <s v="CUST948"/>
    <x v="1"/>
    <n v="23"/>
    <x v="2"/>
    <n v="3"/>
    <n v="25"/>
    <n v="75"/>
    <x v="7"/>
    <x v="0"/>
    <s v="Q4"/>
    <d v="2023-10-01T00:00:00"/>
    <s v="20-29"/>
  </r>
  <r>
    <n v="949"/>
    <x v="341"/>
    <s v="CUST949"/>
    <x v="1"/>
    <n v="41"/>
    <x v="2"/>
    <n v="2"/>
    <n v="25"/>
    <n v="50"/>
    <x v="8"/>
    <x v="0"/>
    <s v="Q3"/>
    <d v="2023-08-01T00:00:00"/>
    <s v="40-49"/>
  </r>
  <r>
    <n v="950"/>
    <x v="155"/>
    <s v="CUST950"/>
    <x v="0"/>
    <n v="36"/>
    <x v="1"/>
    <n v="3"/>
    <n v="300"/>
    <n v="900"/>
    <x v="0"/>
    <x v="0"/>
    <s v="Q4"/>
    <d v="2023-11-01T00:00:00"/>
    <s v="30-39"/>
  </r>
  <r>
    <n v="951"/>
    <x v="113"/>
    <s v="CUST951"/>
    <x v="0"/>
    <n v="33"/>
    <x v="0"/>
    <n v="2"/>
    <n v="50"/>
    <n v="100"/>
    <x v="0"/>
    <x v="0"/>
    <s v="Q4"/>
    <d v="2023-11-01T00:00:00"/>
    <s v="30-39"/>
  </r>
  <r>
    <n v="952"/>
    <x v="52"/>
    <s v="CUST952"/>
    <x v="1"/>
    <n v="57"/>
    <x v="1"/>
    <n v="1"/>
    <n v="25"/>
    <n v="25"/>
    <x v="0"/>
    <x v="0"/>
    <s v="Q4"/>
    <d v="2023-11-01T00:00:00"/>
    <s v="50+"/>
  </r>
  <r>
    <n v="953"/>
    <x v="164"/>
    <s v="CUST953"/>
    <x v="0"/>
    <n v="45"/>
    <x v="0"/>
    <n v="3"/>
    <n v="30"/>
    <n v="90"/>
    <x v="4"/>
    <x v="0"/>
    <s v="Q2"/>
    <d v="2023-04-01T00:00:00"/>
    <s v="40-49"/>
  </r>
  <r>
    <n v="954"/>
    <x v="223"/>
    <s v="CUST954"/>
    <x v="1"/>
    <n v="50"/>
    <x v="2"/>
    <n v="3"/>
    <n v="300"/>
    <n v="900"/>
    <x v="9"/>
    <x v="0"/>
    <s v="Q3"/>
    <d v="2023-09-01T00:00:00"/>
    <s v="50+"/>
  </r>
  <r>
    <n v="955"/>
    <x v="37"/>
    <s v="CUST955"/>
    <x v="0"/>
    <n v="58"/>
    <x v="1"/>
    <n v="1"/>
    <n v="25"/>
    <n v="25"/>
    <x v="11"/>
    <x v="0"/>
    <s v="Q3"/>
    <d v="2023-07-01T00:00:00"/>
    <s v="50+"/>
  </r>
  <r>
    <n v="956"/>
    <x v="304"/>
    <s v="CUST956"/>
    <x v="0"/>
    <n v="30"/>
    <x v="1"/>
    <n v="3"/>
    <n v="500"/>
    <n v="1500"/>
    <x v="8"/>
    <x v="0"/>
    <s v="Q3"/>
    <d v="2023-08-01T00:00:00"/>
    <s v="30-39"/>
  </r>
  <r>
    <n v="957"/>
    <x v="196"/>
    <s v="CUST957"/>
    <x v="1"/>
    <n v="60"/>
    <x v="2"/>
    <n v="4"/>
    <n v="30"/>
    <n v="120"/>
    <x v="8"/>
    <x v="0"/>
    <s v="Q3"/>
    <d v="2023-08-01T00:00:00"/>
    <s v="50+"/>
  </r>
  <r>
    <n v="958"/>
    <x v="132"/>
    <s v="CUST958"/>
    <x v="0"/>
    <n v="62"/>
    <x v="2"/>
    <n v="2"/>
    <n v="25"/>
    <n v="50"/>
    <x v="10"/>
    <x v="0"/>
    <s v="Q2"/>
    <d v="2023-06-01T00:00:00"/>
    <s v="50+"/>
  </r>
  <r>
    <n v="959"/>
    <x v="28"/>
    <s v="CUST959"/>
    <x v="1"/>
    <n v="42"/>
    <x v="2"/>
    <n v="2"/>
    <n v="30"/>
    <n v="60"/>
    <x v="7"/>
    <x v="0"/>
    <s v="Q4"/>
    <d v="2023-10-01T00:00:00"/>
    <s v="40-49"/>
  </r>
  <r>
    <n v="960"/>
    <x v="102"/>
    <s v="CUST960"/>
    <x v="0"/>
    <n v="59"/>
    <x v="1"/>
    <n v="2"/>
    <n v="30"/>
    <n v="60"/>
    <x v="8"/>
    <x v="0"/>
    <s v="Q3"/>
    <d v="2023-08-01T00:00:00"/>
    <s v="50+"/>
  </r>
  <r>
    <n v="961"/>
    <x v="264"/>
    <s v="CUST961"/>
    <x v="0"/>
    <n v="53"/>
    <x v="0"/>
    <n v="4"/>
    <n v="50"/>
    <n v="200"/>
    <x v="10"/>
    <x v="0"/>
    <s v="Q2"/>
    <d v="2023-06-01T00:00:00"/>
    <s v="50+"/>
  </r>
  <r>
    <n v="962"/>
    <x v="218"/>
    <s v="CUST962"/>
    <x v="0"/>
    <n v="44"/>
    <x v="1"/>
    <n v="2"/>
    <n v="30"/>
    <n v="60"/>
    <x v="7"/>
    <x v="0"/>
    <s v="Q4"/>
    <d v="2023-10-01T00:00:00"/>
    <s v="40-49"/>
  </r>
  <r>
    <n v="963"/>
    <x v="220"/>
    <s v="CUST963"/>
    <x v="1"/>
    <n v="55"/>
    <x v="0"/>
    <n v="1"/>
    <n v="50"/>
    <n v="50"/>
    <x v="0"/>
    <x v="0"/>
    <s v="Q4"/>
    <d v="2023-11-01T00:00:00"/>
    <s v="50+"/>
  </r>
  <r>
    <n v="964"/>
    <x v="169"/>
    <s v="CUST964"/>
    <x v="0"/>
    <n v="24"/>
    <x v="1"/>
    <n v="3"/>
    <n v="300"/>
    <n v="900"/>
    <x v="2"/>
    <x v="0"/>
    <s v="Q1"/>
    <d v="2023-01-01T00:00:00"/>
    <s v="20-29"/>
  </r>
  <r>
    <n v="965"/>
    <x v="289"/>
    <s v="CUST965"/>
    <x v="0"/>
    <n v="22"/>
    <x v="1"/>
    <n v="4"/>
    <n v="50"/>
    <n v="200"/>
    <x v="0"/>
    <x v="0"/>
    <s v="Q4"/>
    <d v="2023-11-01T00:00:00"/>
    <s v="20-29"/>
  </r>
  <r>
    <n v="966"/>
    <x v="189"/>
    <s v="CUST966"/>
    <x v="0"/>
    <n v="60"/>
    <x v="2"/>
    <n v="2"/>
    <n v="500"/>
    <n v="1000"/>
    <x v="1"/>
    <x v="0"/>
    <s v="Q1"/>
    <d v="2023-02-01T00:00:00"/>
    <s v="50+"/>
  </r>
  <r>
    <n v="967"/>
    <x v="342"/>
    <s v="CUST967"/>
    <x v="0"/>
    <n v="62"/>
    <x v="0"/>
    <n v="1"/>
    <n v="25"/>
    <n v="25"/>
    <x v="4"/>
    <x v="0"/>
    <s v="Q2"/>
    <d v="2023-04-01T00:00:00"/>
    <s v="50+"/>
  </r>
  <r>
    <n v="968"/>
    <x v="131"/>
    <s v="CUST968"/>
    <x v="1"/>
    <n v="48"/>
    <x v="1"/>
    <n v="3"/>
    <n v="300"/>
    <n v="900"/>
    <x v="0"/>
    <x v="0"/>
    <s v="Q4"/>
    <d v="2023-11-01T00:00:00"/>
    <s v="40-49"/>
  </r>
  <r>
    <n v="969"/>
    <x v="90"/>
    <s v="CUST969"/>
    <x v="1"/>
    <n v="40"/>
    <x v="1"/>
    <n v="3"/>
    <n v="300"/>
    <n v="900"/>
    <x v="4"/>
    <x v="0"/>
    <s v="Q2"/>
    <d v="2023-04-01T00:00:00"/>
    <s v="40-49"/>
  </r>
  <r>
    <n v="970"/>
    <x v="42"/>
    <s v="CUST970"/>
    <x v="0"/>
    <n v="59"/>
    <x v="2"/>
    <n v="4"/>
    <n v="500"/>
    <n v="2000"/>
    <x v="3"/>
    <x v="0"/>
    <s v="Q2"/>
    <d v="2023-05-01T00:00:00"/>
    <s v="50+"/>
  </r>
  <r>
    <n v="971"/>
    <x v="59"/>
    <s v="CUST971"/>
    <x v="1"/>
    <n v="27"/>
    <x v="2"/>
    <n v="4"/>
    <n v="50"/>
    <n v="200"/>
    <x v="6"/>
    <x v="0"/>
    <s v="Q4"/>
    <d v="2023-12-01T00:00:00"/>
    <s v="20-29"/>
  </r>
  <r>
    <n v="972"/>
    <x v="213"/>
    <s v="CUST972"/>
    <x v="0"/>
    <n v="49"/>
    <x v="0"/>
    <n v="4"/>
    <n v="25"/>
    <n v="100"/>
    <x v="1"/>
    <x v="0"/>
    <s v="Q1"/>
    <d v="2023-02-01T00:00:00"/>
    <s v="40-49"/>
  </r>
  <r>
    <n v="973"/>
    <x v="125"/>
    <s v="CUST973"/>
    <x v="0"/>
    <n v="60"/>
    <x v="1"/>
    <n v="1"/>
    <n v="50"/>
    <n v="50"/>
    <x v="5"/>
    <x v="0"/>
    <s v="Q1"/>
    <d v="2023-03-01T00:00:00"/>
    <s v="50+"/>
  </r>
  <r>
    <n v="974"/>
    <x v="143"/>
    <s v="CUST974"/>
    <x v="0"/>
    <n v="47"/>
    <x v="0"/>
    <n v="1"/>
    <n v="30"/>
    <n v="30"/>
    <x v="3"/>
    <x v="0"/>
    <s v="Q2"/>
    <d v="2023-05-01T00:00:00"/>
    <s v="40-49"/>
  </r>
  <r>
    <n v="975"/>
    <x v="343"/>
    <s v="CUST975"/>
    <x v="1"/>
    <n v="56"/>
    <x v="1"/>
    <n v="4"/>
    <n v="50"/>
    <n v="200"/>
    <x v="5"/>
    <x v="0"/>
    <s v="Q1"/>
    <d v="2023-03-01T00:00:00"/>
    <s v="50+"/>
  </r>
  <r>
    <n v="976"/>
    <x v="49"/>
    <s v="CUST976"/>
    <x v="1"/>
    <n v="48"/>
    <x v="0"/>
    <n v="2"/>
    <n v="300"/>
    <n v="600"/>
    <x v="7"/>
    <x v="0"/>
    <s v="Q4"/>
    <d v="2023-10-01T00:00:00"/>
    <s v="40-49"/>
  </r>
  <r>
    <n v="977"/>
    <x v="195"/>
    <s v="CUST977"/>
    <x v="1"/>
    <n v="35"/>
    <x v="2"/>
    <n v="3"/>
    <n v="25"/>
    <n v="75"/>
    <x v="1"/>
    <x v="0"/>
    <s v="Q1"/>
    <d v="2023-02-01T00:00:00"/>
    <s v="30-39"/>
  </r>
  <r>
    <n v="978"/>
    <x v="125"/>
    <s v="CUST978"/>
    <x v="1"/>
    <n v="53"/>
    <x v="1"/>
    <n v="3"/>
    <n v="50"/>
    <n v="150"/>
    <x v="5"/>
    <x v="0"/>
    <s v="Q1"/>
    <d v="2023-03-01T00:00:00"/>
    <s v="50+"/>
  </r>
  <r>
    <n v="979"/>
    <x v="126"/>
    <s v="CUST979"/>
    <x v="1"/>
    <n v="19"/>
    <x v="0"/>
    <n v="1"/>
    <n v="25"/>
    <n v="25"/>
    <x v="2"/>
    <x v="0"/>
    <s v="Q1"/>
    <d v="2023-01-01T00:00:00"/>
    <s v="Under 20"/>
  </r>
  <r>
    <n v="980"/>
    <x v="277"/>
    <s v="CUST980"/>
    <x v="1"/>
    <n v="31"/>
    <x v="2"/>
    <n v="3"/>
    <n v="25"/>
    <n v="75"/>
    <x v="11"/>
    <x v="0"/>
    <s v="Q3"/>
    <d v="2023-07-01T00:00:00"/>
    <s v="30-39"/>
  </r>
  <r>
    <n v="981"/>
    <x v="304"/>
    <s v="CUST981"/>
    <x v="1"/>
    <n v="30"/>
    <x v="2"/>
    <n v="2"/>
    <n v="30"/>
    <n v="60"/>
    <x v="8"/>
    <x v="0"/>
    <s v="Q3"/>
    <d v="2023-08-01T00:00:00"/>
    <s v="30-39"/>
  </r>
  <r>
    <n v="982"/>
    <x v="80"/>
    <s v="CUST982"/>
    <x v="1"/>
    <n v="46"/>
    <x v="0"/>
    <n v="3"/>
    <n v="30"/>
    <n v="90"/>
    <x v="6"/>
    <x v="0"/>
    <s v="Q4"/>
    <d v="2023-12-01T00:00:00"/>
    <s v="40-49"/>
  </r>
  <r>
    <n v="983"/>
    <x v="215"/>
    <s v="CUST983"/>
    <x v="1"/>
    <n v="29"/>
    <x v="1"/>
    <n v="1"/>
    <n v="300"/>
    <n v="300"/>
    <x v="0"/>
    <x v="0"/>
    <s v="Q4"/>
    <d v="2023-11-01T00:00:00"/>
    <s v="20-29"/>
  </r>
  <r>
    <n v="984"/>
    <x v="261"/>
    <s v="CUST984"/>
    <x v="0"/>
    <n v="56"/>
    <x v="1"/>
    <n v="1"/>
    <n v="500"/>
    <n v="500"/>
    <x v="8"/>
    <x v="0"/>
    <s v="Q3"/>
    <d v="2023-08-01T00:00:00"/>
    <s v="50+"/>
  </r>
  <r>
    <n v="985"/>
    <x v="337"/>
    <s v="CUST985"/>
    <x v="1"/>
    <n v="19"/>
    <x v="2"/>
    <n v="2"/>
    <n v="25"/>
    <n v="50"/>
    <x v="3"/>
    <x v="0"/>
    <s v="Q2"/>
    <d v="2023-05-01T00:00:00"/>
    <s v="Under 20"/>
  </r>
  <r>
    <n v="986"/>
    <x v="13"/>
    <s v="CUST986"/>
    <x v="1"/>
    <n v="49"/>
    <x v="1"/>
    <n v="2"/>
    <n v="500"/>
    <n v="1000"/>
    <x v="2"/>
    <x v="0"/>
    <s v="Q1"/>
    <d v="2023-01-01T00:00:00"/>
    <s v="40-49"/>
  </r>
  <r>
    <n v="987"/>
    <x v="310"/>
    <s v="CUST987"/>
    <x v="1"/>
    <n v="30"/>
    <x v="1"/>
    <n v="3"/>
    <n v="300"/>
    <n v="900"/>
    <x v="4"/>
    <x v="0"/>
    <s v="Q2"/>
    <d v="2023-04-01T00:00:00"/>
    <s v="30-39"/>
  </r>
  <r>
    <n v="988"/>
    <x v="344"/>
    <s v="CUST988"/>
    <x v="1"/>
    <n v="63"/>
    <x v="1"/>
    <n v="3"/>
    <n v="25"/>
    <n v="75"/>
    <x v="3"/>
    <x v="0"/>
    <s v="Q2"/>
    <d v="2023-05-01T00:00:00"/>
    <s v="50+"/>
  </r>
  <r>
    <n v="989"/>
    <x v="251"/>
    <s v="CUST989"/>
    <x v="1"/>
    <n v="44"/>
    <x v="2"/>
    <n v="1"/>
    <n v="25"/>
    <n v="25"/>
    <x v="6"/>
    <x v="0"/>
    <s v="Q4"/>
    <d v="2023-12-01T00:00:00"/>
    <s v="40-49"/>
  </r>
  <r>
    <n v="990"/>
    <x v="242"/>
    <s v="CUST990"/>
    <x v="1"/>
    <n v="58"/>
    <x v="0"/>
    <n v="2"/>
    <n v="500"/>
    <n v="1000"/>
    <x v="3"/>
    <x v="0"/>
    <s v="Q2"/>
    <d v="2023-05-01T00:00:00"/>
    <s v="50+"/>
  </r>
  <r>
    <n v="991"/>
    <x v="24"/>
    <s v="CUST991"/>
    <x v="1"/>
    <n v="34"/>
    <x v="1"/>
    <n v="2"/>
    <n v="50"/>
    <n v="100"/>
    <x v="6"/>
    <x v="0"/>
    <s v="Q4"/>
    <d v="2023-12-01T00:00:00"/>
    <s v="30-39"/>
  </r>
  <r>
    <n v="992"/>
    <x v="63"/>
    <s v="CUST992"/>
    <x v="1"/>
    <n v="57"/>
    <x v="2"/>
    <n v="2"/>
    <n v="30"/>
    <n v="60"/>
    <x v="8"/>
    <x v="0"/>
    <s v="Q3"/>
    <d v="2023-08-01T00:00:00"/>
    <s v="50+"/>
  </r>
  <r>
    <n v="993"/>
    <x v="74"/>
    <s v="CUST993"/>
    <x v="1"/>
    <n v="48"/>
    <x v="2"/>
    <n v="3"/>
    <n v="50"/>
    <n v="150"/>
    <x v="1"/>
    <x v="0"/>
    <s v="Q1"/>
    <d v="2023-02-01T00:00:00"/>
    <s v="40-49"/>
  </r>
  <r>
    <n v="994"/>
    <x v="244"/>
    <s v="CUST994"/>
    <x v="1"/>
    <n v="51"/>
    <x v="0"/>
    <n v="2"/>
    <n v="500"/>
    <n v="1000"/>
    <x v="6"/>
    <x v="0"/>
    <s v="Q4"/>
    <d v="2023-12-01T00:00:00"/>
    <s v="50+"/>
  </r>
  <r>
    <n v="995"/>
    <x v="17"/>
    <s v="CUST995"/>
    <x v="1"/>
    <n v="41"/>
    <x v="1"/>
    <n v="1"/>
    <n v="30"/>
    <n v="30"/>
    <x v="4"/>
    <x v="0"/>
    <s v="Q2"/>
    <d v="2023-04-01T00:00:00"/>
    <s v="40-49"/>
  </r>
  <r>
    <n v="996"/>
    <x v="42"/>
    <s v="CUST996"/>
    <x v="0"/>
    <n v="62"/>
    <x v="1"/>
    <n v="1"/>
    <n v="50"/>
    <n v="50"/>
    <x v="3"/>
    <x v="0"/>
    <s v="Q2"/>
    <d v="2023-05-01T00:00:00"/>
    <s v="50+"/>
  </r>
  <r>
    <n v="997"/>
    <x v="131"/>
    <s v="CUST997"/>
    <x v="0"/>
    <n v="52"/>
    <x v="0"/>
    <n v="3"/>
    <n v="30"/>
    <n v="90"/>
    <x v="0"/>
    <x v="0"/>
    <s v="Q4"/>
    <d v="2023-11-01T00:00:00"/>
    <s v="50+"/>
  </r>
  <r>
    <n v="998"/>
    <x v="28"/>
    <s v="CUST998"/>
    <x v="1"/>
    <n v="23"/>
    <x v="0"/>
    <n v="4"/>
    <n v="25"/>
    <n v="100"/>
    <x v="7"/>
    <x v="0"/>
    <s v="Q4"/>
    <d v="2023-10-01T00:00:00"/>
    <s v="20-29"/>
  </r>
  <r>
    <n v="999"/>
    <x v="59"/>
    <s v="CUST999"/>
    <x v="1"/>
    <n v="36"/>
    <x v="2"/>
    <n v="3"/>
    <n v="50"/>
    <n v="150"/>
    <x v="6"/>
    <x v="0"/>
    <s v="Q4"/>
    <d v="2023-12-01T00:00:00"/>
    <s v="30-39"/>
  </r>
  <r>
    <n v="1000"/>
    <x v="22"/>
    <s v="CUST1000"/>
    <x v="0"/>
    <n v="47"/>
    <x v="2"/>
    <n v="4"/>
    <n v="30"/>
    <n v="120"/>
    <x v="4"/>
    <x v="0"/>
    <s v="Q2"/>
    <d v="2023-04-01T00:00:00"/>
    <s v="40-4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BF87013-640A-B24B-965C-54412CB0B7E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5:B38" firstHeaderRow="1" firstDataRow="1" firstDataCol="1"/>
  <pivotFields count="17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622C087-886E-C643-8B62-CF305A3223B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0:B24" firstHeaderRow="1" firstDataRow="1" firstDataCol="1"/>
  <pivotFields count="17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33A37F4-D25C-C942-B807-C9CB4761075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7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5AB40FEE-09A0-E647-B700-BE67B2D0E84F}" name="SalesData" displayName="SalesData" ref="A1:N1001" totalsRowShown="0">
  <autoFilter ref="A1:N1001" xr:uid="{5AB40FEE-09A0-E647-B700-BE67B2D0E84F}"/>
  <tableColumns count="14">
    <tableColumn id="1" xr3:uid="{B647052C-AC13-6F46-882A-F10BF58EE694}" name="Transaction ID"/>
    <tableColumn id="2" xr3:uid="{9645CF35-C631-3046-9154-BD6E28C1A0AC}" name="Date" dataDxfId="9"/>
    <tableColumn id="3" xr3:uid="{792AA47F-B1E7-2640-97D1-71A79225A615}" name="Customer ID"/>
    <tableColumn id="4" xr3:uid="{E28CEADF-AD17-5B42-8BAC-7E3360F30252}" name="Gender"/>
    <tableColumn id="5" xr3:uid="{B5D34968-4680-474F-AB18-FFA6EB1AAA47}" name="Age"/>
    <tableColumn id="6" xr3:uid="{B32D3F9A-D8F4-0E43-B072-D29A0E9A9B2A}" name="Product Category"/>
    <tableColumn id="7" xr3:uid="{844F7E39-7BD3-7A47-A96B-85EB0C28099B}" name="Quantity"/>
    <tableColumn id="8" xr3:uid="{536E5254-FEBE-F24D-A6D4-F7E673246493}" name="Price per Unit"/>
    <tableColumn id="9" xr3:uid="{B464213F-1533-8546-8727-4E607E0E1068}" name="Total Amount"/>
    <tableColumn id="10" xr3:uid="{3778F116-33F9-B247-9E65-B17DBFC65DF9}" name="Month" dataDxfId="8">
      <calculatedColumnFormula>TEXT(SalesData[[#This Row],[Date]],"yyyy-mm")</calculatedColumnFormula>
    </tableColumn>
    <tableColumn id="12" xr3:uid="{07537F55-DA4C-8542-81B4-480A7E8069A7}" name="Year" dataDxfId="6">
      <calculatedColumnFormula>YEAR(SalesData[[#This Row],[Date]])</calculatedColumnFormula>
    </tableColumn>
    <tableColumn id="13" xr3:uid="{87BB22AD-C0C4-AB49-B8F6-AD1283AB1F5C}" name="Quarter" dataDxfId="5">
      <calculatedColumnFormula>"Q"&amp;ROUNDUP(MONTH(SalesData[[#This Row],[Date]])/3,0)</calculatedColumnFormula>
    </tableColumn>
    <tableColumn id="11" xr3:uid="{350AD08E-D58D-6849-97F3-3B6108ECF518}" name="Month_start" dataDxfId="7">
      <calculatedColumnFormula>DATE(YEAR(SalesData[[#This Row],[Date]]),MONTH(SalesData[[#This Row],[Date]]),1)</calculatedColumnFormula>
    </tableColumn>
    <tableColumn id="14" xr3:uid="{58FC2443-EEA4-C94B-A066-E27BF5A80C8B}" name="Age Group" dataDxfId="4">
      <calculatedColumnFormula>IF(SalesData[[#This Row],[Age]]&lt;20,"Under 20",IF(SalesData[[#This Row],[Age]]&lt;30,"20-29",IF(SalesData[[#This Row],[Age]]&lt;40,"30-39",IF(SalesData[[#This Row],[Age]]&lt;50,"40-49","50+"))))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F5929C52-09EA-5B4D-AD58-5C59DADA3B65}" name="Forecast" displayName="Forecast" ref="A1:D16" totalsRowShown="0">
  <autoFilter ref="A1:D16" xr:uid="{F5929C52-09EA-5B4D-AD58-5C59DADA3B65}"/>
  <tableColumns count="4">
    <tableColumn id="1" xr3:uid="{1742B196-5E92-EC44-B4B9-7B2223EB5C7E}" name="Month Start" dataDxfId="3"/>
    <tableColumn id="2" xr3:uid="{A76B0618-2FDF-1245-94B5-51111865BB31}" name="Revenue" dataDxfId="2"/>
    <tableColumn id="3" xr3:uid="{83B4AFD8-CB2B-FA48-862C-20F8675085DF}" name="Month No" dataDxfId="1">
      <calculatedColumnFormula>ROW()-1</calculatedColumnFormula>
    </tableColumn>
    <tableColumn id="4" xr3:uid="{BA0A2407-BD01-6E49-A966-6EEF4D2B0D1C}" name="Forecast" dataDxfId="0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4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7BB7-1CF0-7047-885C-D9A62E9365A1}">
  <dimension ref="A1:N1001"/>
  <sheetViews>
    <sheetView tabSelected="1" topLeftCell="A2" workbookViewId="0">
      <selection activeCell="G23" sqref="G23"/>
    </sheetView>
  </sheetViews>
  <sheetFormatPr baseColWidth="10" defaultRowHeight="16"/>
  <cols>
    <col min="1" max="1" width="15.33203125" customWidth="1"/>
    <col min="3" max="3" width="14" customWidth="1"/>
    <col min="6" max="6" width="17.83203125" customWidth="1"/>
    <col min="8" max="8" width="14.5" customWidth="1"/>
    <col min="9" max="9" width="14.3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1015</v>
      </c>
      <c r="K1" t="s">
        <v>1017</v>
      </c>
      <c r="L1" t="s">
        <v>1018</v>
      </c>
      <c r="M1" t="s">
        <v>1016</v>
      </c>
      <c r="N1" t="s">
        <v>1019</v>
      </c>
    </row>
    <row r="2" spans="1:14">
      <c r="A2">
        <v>1</v>
      </c>
      <c r="B2" s="1" t="d">
        <v>2023-11-24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t="str">
        <f>TEXT(SalesData[[#This Row],[Date]],"yyyy-mm")</f>
        <v>2023-11</v>
      </c>
      <c r="K2">
        <f>YEAR(SalesData[[#This Row],[Date]])</f>
        <v>2023</v>
      </c>
      <c r="L2" t="str">
        <f>"Q"&amp;ROUNDUP(MONTH(SalesData[[#This Row],[Date]])/3,0)</f>
        <v>Q4</v>
      </c>
      <c r="M2" s="1" t="d">
        <f>DATE(YEAR(SalesData[[#This Row],[Date]]),MONTH(SalesData[[#This Row],[Date]]),1)</f>
        <v>2023-11-01</v>
      </c>
      <c r="N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" spans="1:14">
      <c r="A3">
        <v>2</v>
      </c>
      <c r="B3" s="1" t="d">
        <v>2023-02-27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t="str">
        <f>TEXT(SalesData[[#This Row],[Date]],"yyyy-mm")</f>
        <v>2023-02</v>
      </c>
      <c r="K3">
        <f>YEAR(SalesData[[#This Row],[Date]])</f>
        <v>2023</v>
      </c>
      <c r="L3" t="str">
        <f>"Q"&amp;ROUNDUP(MONTH(SalesData[[#This Row],[Date]])/3,0)</f>
        <v>Q1</v>
      </c>
      <c r="M3" s="1" t="d">
        <f>DATE(YEAR(SalesData[[#This Row],[Date]]),MONTH(SalesData[[#This Row],[Date]]),1)</f>
        <v>2023-02-01</v>
      </c>
      <c r="N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" spans="1:14">
      <c r="A4">
        <v>3</v>
      </c>
      <c r="B4" s="1" t="d">
        <v>2023-01-13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t="str">
        <f>TEXT(SalesData[[#This Row],[Date]],"yyyy-mm")</f>
        <v>2023-01</v>
      </c>
      <c r="K4">
        <f>YEAR(SalesData[[#This Row],[Date]])</f>
        <v>2023</v>
      </c>
      <c r="L4" t="str">
        <f>"Q"&amp;ROUNDUP(MONTH(SalesData[[#This Row],[Date]])/3,0)</f>
        <v>Q1</v>
      </c>
      <c r="M4" s="1" t="d">
        <f>DATE(YEAR(SalesData[[#This Row],[Date]]),MONTH(SalesData[[#This Row],[Date]]),1)</f>
        <v>2023-01-01</v>
      </c>
      <c r="N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" spans="1:14">
      <c r="A5">
        <v>4</v>
      </c>
      <c r="B5" s="1" t="d">
        <v>2023-05-21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t="str">
        <f>TEXT(SalesData[[#This Row],[Date]],"yyyy-mm")</f>
        <v>2023-05</v>
      </c>
      <c r="K5">
        <f>YEAR(SalesData[[#This Row],[Date]])</f>
        <v>2023</v>
      </c>
      <c r="L5" t="str">
        <f>"Q"&amp;ROUNDUP(MONTH(SalesData[[#This Row],[Date]])/3,0)</f>
        <v>Q2</v>
      </c>
      <c r="M5" s="1" t="d">
        <f>DATE(YEAR(SalesData[[#This Row],[Date]]),MONTH(SalesData[[#This Row],[Date]]),1)</f>
        <v>2023-05-01</v>
      </c>
      <c r="N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" spans="1:14">
      <c r="A6">
        <v>5</v>
      </c>
      <c r="B6" s="1" t="d">
        <v>2023-05-06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t="str">
        <f>TEXT(SalesData[[#This Row],[Date]],"yyyy-mm")</f>
        <v>2023-05</v>
      </c>
      <c r="K6">
        <f>YEAR(SalesData[[#This Row],[Date]])</f>
        <v>2023</v>
      </c>
      <c r="L6" t="str">
        <f>"Q"&amp;ROUNDUP(MONTH(SalesData[[#This Row],[Date]])/3,0)</f>
        <v>Q2</v>
      </c>
      <c r="M6" s="1" t="d">
        <f>DATE(YEAR(SalesData[[#This Row],[Date]]),MONTH(SalesData[[#This Row],[Date]]),1)</f>
        <v>2023-05-01</v>
      </c>
      <c r="N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" spans="1:14">
      <c r="A7">
        <v>6</v>
      </c>
      <c r="B7" s="1" t="d">
        <v>2023-04-25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t="str">
        <f>TEXT(SalesData[[#This Row],[Date]],"yyyy-mm")</f>
        <v>2023-04</v>
      </c>
      <c r="K7">
        <f>YEAR(SalesData[[#This Row],[Date]])</f>
        <v>2023</v>
      </c>
      <c r="L7" t="str">
        <f>"Q"&amp;ROUNDUP(MONTH(SalesData[[#This Row],[Date]])/3,0)</f>
        <v>Q2</v>
      </c>
      <c r="M7" s="1" t="d">
        <f>DATE(YEAR(SalesData[[#This Row],[Date]]),MONTH(SalesData[[#This Row],[Date]]),1)</f>
        <v>2023-04-01</v>
      </c>
      <c r="N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" spans="1:14">
      <c r="A8">
        <v>7</v>
      </c>
      <c r="B8" s="1" t="d">
        <v>2023-03-13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t="str">
        <f>TEXT(SalesData[[#This Row],[Date]],"yyyy-mm")</f>
        <v>2023-03</v>
      </c>
      <c r="K8">
        <f>YEAR(SalesData[[#This Row],[Date]])</f>
        <v>2023</v>
      </c>
      <c r="L8" t="str">
        <f>"Q"&amp;ROUNDUP(MONTH(SalesData[[#This Row],[Date]])/3,0)</f>
        <v>Q1</v>
      </c>
      <c r="M8" s="1" t="d">
        <f>DATE(YEAR(SalesData[[#This Row],[Date]]),MONTH(SalesData[[#This Row],[Date]]),1)</f>
        <v>2023-03-01</v>
      </c>
      <c r="N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" spans="1:14">
      <c r="A9">
        <v>8</v>
      </c>
      <c r="B9" s="1" t="d">
        <v>2023-02-22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t="str">
        <f>TEXT(SalesData[[#This Row],[Date]],"yyyy-mm")</f>
        <v>2023-02</v>
      </c>
      <c r="K9">
        <f>YEAR(SalesData[[#This Row],[Date]])</f>
        <v>2023</v>
      </c>
      <c r="L9" t="str">
        <f>"Q"&amp;ROUNDUP(MONTH(SalesData[[#This Row],[Date]])/3,0)</f>
        <v>Q1</v>
      </c>
      <c r="M9" s="1" t="d">
        <f>DATE(YEAR(SalesData[[#This Row],[Date]]),MONTH(SalesData[[#This Row],[Date]]),1)</f>
        <v>2023-02-01</v>
      </c>
      <c r="N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0" spans="1:14">
      <c r="A10">
        <v>9</v>
      </c>
      <c r="B10" s="1" t="d">
        <v>2023-12-13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t="str">
        <f>TEXT(SalesData[[#This Row],[Date]],"yyyy-mm")</f>
        <v>2023-12</v>
      </c>
      <c r="K10">
        <f>YEAR(SalesData[[#This Row],[Date]])</f>
        <v>2023</v>
      </c>
      <c r="L10" t="str">
        <f>"Q"&amp;ROUNDUP(MONTH(SalesData[[#This Row],[Date]])/3,0)</f>
        <v>Q4</v>
      </c>
      <c r="M10" s="1" t="d">
        <f>DATE(YEAR(SalesData[[#This Row],[Date]]),MONTH(SalesData[[#This Row],[Date]]),1)</f>
        <v>2023-12-01</v>
      </c>
      <c r="N1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1" spans="1:14">
      <c r="A11">
        <v>10</v>
      </c>
      <c r="B11" s="1" t="d">
        <v>2023-10-07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t="str">
        <f>TEXT(SalesData[[#This Row],[Date]],"yyyy-mm")</f>
        <v>2023-10</v>
      </c>
      <c r="K11">
        <f>YEAR(SalesData[[#This Row],[Date]])</f>
        <v>2023</v>
      </c>
      <c r="L11" t="str">
        <f>"Q"&amp;ROUNDUP(MONTH(SalesData[[#This Row],[Date]])/3,0)</f>
        <v>Q4</v>
      </c>
      <c r="M11" s="1" t="d">
        <f>DATE(YEAR(SalesData[[#This Row],[Date]]),MONTH(SalesData[[#This Row],[Date]]),1)</f>
        <v>2023-10-01</v>
      </c>
      <c r="N1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2" spans="1:14">
      <c r="A12">
        <v>11</v>
      </c>
      <c r="B12" s="1" t="d">
        <v>2023-02-14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t="str">
        <f>TEXT(SalesData[[#This Row],[Date]],"yyyy-mm")</f>
        <v>2023-02</v>
      </c>
      <c r="K12">
        <f>YEAR(SalesData[[#This Row],[Date]])</f>
        <v>2023</v>
      </c>
      <c r="L12" t="str">
        <f>"Q"&amp;ROUNDUP(MONTH(SalesData[[#This Row],[Date]])/3,0)</f>
        <v>Q1</v>
      </c>
      <c r="M12" s="1" t="d">
        <f>DATE(YEAR(SalesData[[#This Row],[Date]]),MONTH(SalesData[[#This Row],[Date]]),1)</f>
        <v>2023-02-01</v>
      </c>
      <c r="N1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" spans="1:14">
      <c r="A13">
        <v>12</v>
      </c>
      <c r="B13" s="1" t="d">
        <v>2023-10-30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t="str">
        <f>TEXT(SalesData[[#This Row],[Date]],"yyyy-mm")</f>
        <v>2023-10</v>
      </c>
      <c r="K13">
        <f>YEAR(SalesData[[#This Row],[Date]])</f>
        <v>2023</v>
      </c>
      <c r="L13" t="str">
        <f>"Q"&amp;ROUNDUP(MONTH(SalesData[[#This Row],[Date]])/3,0)</f>
        <v>Q4</v>
      </c>
      <c r="M13" s="1" t="d">
        <f>DATE(YEAR(SalesData[[#This Row],[Date]]),MONTH(SalesData[[#This Row],[Date]]),1)</f>
        <v>2023-10-01</v>
      </c>
      <c r="N1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" spans="1:14">
      <c r="A14">
        <v>13</v>
      </c>
      <c r="B14" s="1" t="d">
        <v>2023-08-05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t="str">
        <f>TEXT(SalesData[[#This Row],[Date]],"yyyy-mm")</f>
        <v>2023-08</v>
      </c>
      <c r="K14">
        <f>YEAR(SalesData[[#This Row],[Date]])</f>
        <v>2023</v>
      </c>
      <c r="L14" t="str">
        <f>"Q"&amp;ROUNDUP(MONTH(SalesData[[#This Row],[Date]])/3,0)</f>
        <v>Q3</v>
      </c>
      <c r="M14" s="1" t="d">
        <f>DATE(YEAR(SalesData[[#This Row],[Date]]),MONTH(SalesData[[#This Row],[Date]]),1)</f>
        <v>2023-08-01</v>
      </c>
      <c r="N1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5" spans="1:14">
      <c r="A15">
        <v>14</v>
      </c>
      <c r="B15" s="1" t="d">
        <v>2023-01-17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t="str">
        <f>TEXT(SalesData[[#This Row],[Date]],"yyyy-mm")</f>
        <v>2023-01</v>
      </c>
      <c r="K15">
        <f>YEAR(SalesData[[#This Row],[Date]])</f>
        <v>2023</v>
      </c>
      <c r="L15" t="str">
        <f>"Q"&amp;ROUNDUP(MONTH(SalesData[[#This Row],[Date]])/3,0)</f>
        <v>Q1</v>
      </c>
      <c r="M15" s="1" t="d">
        <f>DATE(YEAR(SalesData[[#This Row],[Date]]),MONTH(SalesData[[#This Row],[Date]]),1)</f>
        <v>2023-01-01</v>
      </c>
      <c r="N1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6" spans="1:14">
      <c r="A16">
        <v>15</v>
      </c>
      <c r="B16" s="1" t="d">
        <v>2023-01-16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t="str">
        <f>TEXT(SalesData[[#This Row],[Date]],"yyyy-mm")</f>
        <v>2023-01</v>
      </c>
      <c r="K16">
        <f>YEAR(SalesData[[#This Row],[Date]])</f>
        <v>2023</v>
      </c>
      <c r="L16" t="str">
        <f>"Q"&amp;ROUNDUP(MONTH(SalesData[[#This Row],[Date]])/3,0)</f>
        <v>Q1</v>
      </c>
      <c r="M16" s="1" t="d">
        <f>DATE(YEAR(SalesData[[#This Row],[Date]]),MONTH(SalesData[[#This Row],[Date]]),1)</f>
        <v>2023-01-01</v>
      </c>
      <c r="N1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7" spans="1:14">
      <c r="A17">
        <v>16</v>
      </c>
      <c r="B17" s="1" t="d">
        <v>2023-02-17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t="str">
        <f>TEXT(SalesData[[#This Row],[Date]],"yyyy-mm")</f>
        <v>2023-02</v>
      </c>
      <c r="K17">
        <f>YEAR(SalesData[[#This Row],[Date]])</f>
        <v>2023</v>
      </c>
      <c r="L17" t="str">
        <f>"Q"&amp;ROUNDUP(MONTH(SalesData[[#This Row],[Date]])/3,0)</f>
        <v>Q1</v>
      </c>
      <c r="M17" s="1" t="d">
        <f>DATE(YEAR(SalesData[[#This Row],[Date]]),MONTH(SalesData[[#This Row],[Date]]),1)</f>
        <v>2023-02-01</v>
      </c>
      <c r="N17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18" spans="1:14">
      <c r="A18">
        <v>17</v>
      </c>
      <c r="B18" s="1" t="d">
        <v>2023-04-22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t="str">
        <f>TEXT(SalesData[[#This Row],[Date]],"yyyy-mm")</f>
        <v>2023-04</v>
      </c>
      <c r="K18">
        <f>YEAR(SalesData[[#This Row],[Date]])</f>
        <v>2023</v>
      </c>
      <c r="L18" t="str">
        <f>"Q"&amp;ROUNDUP(MONTH(SalesData[[#This Row],[Date]])/3,0)</f>
        <v>Q2</v>
      </c>
      <c r="M18" s="1" t="d">
        <f>DATE(YEAR(SalesData[[#This Row],[Date]]),MONTH(SalesData[[#This Row],[Date]]),1)</f>
        <v>2023-04-01</v>
      </c>
      <c r="N1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9" spans="1:14">
      <c r="A19">
        <v>18</v>
      </c>
      <c r="B19" s="1" t="d">
        <v>2023-04-30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t="str">
        <f>TEXT(SalesData[[#This Row],[Date]],"yyyy-mm")</f>
        <v>2023-04</v>
      </c>
      <c r="K19">
        <f>YEAR(SalesData[[#This Row],[Date]])</f>
        <v>2023</v>
      </c>
      <c r="L19" t="str">
        <f>"Q"&amp;ROUNDUP(MONTH(SalesData[[#This Row],[Date]])/3,0)</f>
        <v>Q2</v>
      </c>
      <c r="M19" s="1" t="d">
        <f>DATE(YEAR(SalesData[[#This Row],[Date]]),MONTH(SalesData[[#This Row],[Date]]),1)</f>
        <v>2023-04-01</v>
      </c>
      <c r="N1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0" spans="1:14">
      <c r="A20">
        <v>19</v>
      </c>
      <c r="B20" s="1" t="d">
        <v>2023-09-16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t="str">
        <f>TEXT(SalesData[[#This Row],[Date]],"yyyy-mm")</f>
        <v>2023-09</v>
      </c>
      <c r="K20">
        <f>YEAR(SalesData[[#This Row],[Date]])</f>
        <v>2023</v>
      </c>
      <c r="L20" t="str">
        <f>"Q"&amp;ROUNDUP(MONTH(SalesData[[#This Row],[Date]])/3,0)</f>
        <v>Q3</v>
      </c>
      <c r="M20" s="1" t="d">
        <f>DATE(YEAR(SalesData[[#This Row],[Date]]),MONTH(SalesData[[#This Row],[Date]]),1)</f>
        <v>2023-09-01</v>
      </c>
      <c r="N2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1" spans="1:14">
      <c r="A21">
        <v>20</v>
      </c>
      <c r="B21" s="1" t="d">
        <v>2023-11-05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t="str">
        <f>TEXT(SalesData[[#This Row],[Date]],"yyyy-mm")</f>
        <v>2023-11</v>
      </c>
      <c r="K21">
        <f>YEAR(SalesData[[#This Row],[Date]])</f>
        <v>2023</v>
      </c>
      <c r="L21" t="str">
        <f>"Q"&amp;ROUNDUP(MONTH(SalesData[[#This Row],[Date]])/3,0)</f>
        <v>Q4</v>
      </c>
      <c r="M21" s="1" t="d">
        <f>DATE(YEAR(SalesData[[#This Row],[Date]]),MONTH(SalesData[[#This Row],[Date]]),1)</f>
        <v>2023-11-01</v>
      </c>
      <c r="N2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2" spans="1:14">
      <c r="A22">
        <v>21</v>
      </c>
      <c r="B22" s="1" t="d">
        <v>2023-01-14</v>
      </c>
      <c r="C22" t="s">
        <v>34</v>
      </c>
      <c r="D22" t="s">
        <v>13</v>
      </c>
      <c r="E22" t="s">
        <v>1014</v>
      </c>
      <c r="F22" t="s">
        <v>11</v>
      </c>
      <c r="G22">
        <v>1</v>
      </c>
      <c r="H22">
        <v>500</v>
      </c>
      <c r="I22">
        <v>500</v>
      </c>
      <c r="J22" t="str">
        <f>TEXT(SalesData[[#This Row],[Date]],"yyyy-mm")</f>
        <v>2023-01</v>
      </c>
      <c r="K22">
        <f>YEAR(SalesData[[#This Row],[Date]])</f>
        <v>2023</v>
      </c>
      <c r="L22" t="str">
        <f>"Q"&amp;ROUNDUP(MONTH(SalesData[[#This Row],[Date]])/3,0)</f>
        <v>Q1</v>
      </c>
      <c r="M22" s="1" t="d">
        <f>DATE(YEAR(SalesData[[#This Row],[Date]]),MONTH(SalesData[[#This Row],[Date]]),1)</f>
        <v>2023-01-01</v>
      </c>
      <c r="N2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" spans="1:14">
      <c r="A23">
        <v>22</v>
      </c>
      <c r="B23" s="1" t="d">
        <v>2023-10-15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t="str">
        <f>TEXT(SalesData[[#This Row],[Date]],"yyyy-mm")</f>
        <v>2023-10</v>
      </c>
      <c r="K23">
        <f>YEAR(SalesData[[#This Row],[Date]])</f>
        <v>2023</v>
      </c>
      <c r="L23" t="str">
        <f>"Q"&amp;ROUNDUP(MONTH(SalesData[[#This Row],[Date]])/3,0)</f>
        <v>Q4</v>
      </c>
      <c r="M23" s="1" t="d">
        <f>DATE(YEAR(SalesData[[#This Row],[Date]]),MONTH(SalesData[[#This Row],[Date]]),1)</f>
        <v>2023-10-01</v>
      </c>
      <c r="N23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24" spans="1:14">
      <c r="A24">
        <v>23</v>
      </c>
      <c r="B24" s="1" t="d">
        <v>2023-04-12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t="str">
        <f>TEXT(SalesData[[#This Row],[Date]],"yyyy-mm")</f>
        <v>2023-04</v>
      </c>
      <c r="K24">
        <f>YEAR(SalesData[[#This Row],[Date]])</f>
        <v>2023</v>
      </c>
      <c r="L24" t="str">
        <f>"Q"&amp;ROUNDUP(MONTH(SalesData[[#This Row],[Date]])/3,0)</f>
        <v>Q2</v>
      </c>
      <c r="M24" s="1" t="d">
        <f>DATE(YEAR(SalesData[[#This Row],[Date]]),MONTH(SalesData[[#This Row],[Date]]),1)</f>
        <v>2023-04-01</v>
      </c>
      <c r="N2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5" spans="1:14">
      <c r="A25">
        <v>24</v>
      </c>
      <c r="B25" s="1" t="d">
        <v>2023-11-29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t="str">
        <f>TEXT(SalesData[[#This Row],[Date]],"yyyy-mm")</f>
        <v>2023-11</v>
      </c>
      <c r="K25">
        <f>YEAR(SalesData[[#This Row],[Date]])</f>
        <v>2023</v>
      </c>
      <c r="L25" t="str">
        <f>"Q"&amp;ROUNDUP(MONTH(SalesData[[#This Row],[Date]])/3,0)</f>
        <v>Q4</v>
      </c>
      <c r="M25" s="1" t="d">
        <f>DATE(YEAR(SalesData[[#This Row],[Date]]),MONTH(SalesData[[#This Row],[Date]]),1)</f>
        <v>2023-11-01</v>
      </c>
      <c r="N2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6" spans="1:14">
      <c r="A26">
        <v>25</v>
      </c>
      <c r="B26" s="1" t="d">
        <v>2023-12-26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t="str">
        <f>TEXT(SalesData[[#This Row],[Date]],"yyyy-mm")</f>
        <v>2023-12</v>
      </c>
      <c r="K26">
        <f>YEAR(SalesData[[#This Row],[Date]])</f>
        <v>2023</v>
      </c>
      <c r="L26" t="str">
        <f>"Q"&amp;ROUNDUP(MONTH(SalesData[[#This Row],[Date]])/3,0)</f>
        <v>Q4</v>
      </c>
      <c r="M26" s="1" t="d">
        <f>DATE(YEAR(SalesData[[#This Row],[Date]]),MONTH(SalesData[[#This Row],[Date]]),1)</f>
        <v>2023-12-01</v>
      </c>
      <c r="N2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7" spans="1:14">
      <c r="A27">
        <v>26</v>
      </c>
      <c r="B27" s="1" t="d">
        <v>2023-10-07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t="str">
        <f>TEXT(SalesData[[#This Row],[Date]],"yyyy-mm")</f>
        <v>2023-10</v>
      </c>
      <c r="K27">
        <f>YEAR(SalesData[[#This Row],[Date]])</f>
        <v>2023</v>
      </c>
      <c r="L27" t="str">
        <f>"Q"&amp;ROUNDUP(MONTH(SalesData[[#This Row],[Date]])/3,0)</f>
        <v>Q4</v>
      </c>
      <c r="M27" s="1" t="d">
        <f>DATE(YEAR(SalesData[[#This Row],[Date]]),MONTH(SalesData[[#This Row],[Date]]),1)</f>
        <v>2023-10-01</v>
      </c>
      <c r="N2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8" spans="1:14">
      <c r="A28">
        <v>27</v>
      </c>
      <c r="B28" s="1" t="d">
        <v>2023-08-03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t="str">
        <f>TEXT(SalesData[[#This Row],[Date]],"yyyy-mm")</f>
        <v>2023-08</v>
      </c>
      <c r="K28">
        <f>YEAR(SalesData[[#This Row],[Date]])</f>
        <v>2023</v>
      </c>
      <c r="L28" t="str">
        <f>"Q"&amp;ROUNDUP(MONTH(SalesData[[#This Row],[Date]])/3,0)</f>
        <v>Q3</v>
      </c>
      <c r="M28" s="1" t="d">
        <f>DATE(YEAR(SalesData[[#This Row],[Date]]),MONTH(SalesData[[#This Row],[Date]]),1)</f>
        <v>2023-08-01</v>
      </c>
      <c r="N2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9" spans="1:14">
      <c r="A29">
        <v>28</v>
      </c>
      <c r="B29" s="1" t="d">
        <v>2023-04-23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t="str">
        <f>TEXT(SalesData[[#This Row],[Date]],"yyyy-mm")</f>
        <v>2023-04</v>
      </c>
      <c r="K29">
        <f>YEAR(SalesData[[#This Row],[Date]])</f>
        <v>2023</v>
      </c>
      <c r="L29" t="str">
        <f>"Q"&amp;ROUNDUP(MONTH(SalesData[[#This Row],[Date]])/3,0)</f>
        <v>Q2</v>
      </c>
      <c r="M29" s="1" t="d">
        <f>DATE(YEAR(SalesData[[#This Row],[Date]]),MONTH(SalesData[[#This Row],[Date]]),1)</f>
        <v>2023-04-01</v>
      </c>
      <c r="N2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0" spans="1:14">
      <c r="A30">
        <v>29</v>
      </c>
      <c r="B30" s="1" t="d">
        <v>2023-08-18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t="str">
        <f>TEXT(SalesData[[#This Row],[Date]],"yyyy-mm")</f>
        <v>2023-08</v>
      </c>
      <c r="K30">
        <f>YEAR(SalesData[[#This Row],[Date]])</f>
        <v>2023</v>
      </c>
      <c r="L30" t="str">
        <f>"Q"&amp;ROUNDUP(MONTH(SalesData[[#This Row],[Date]])/3,0)</f>
        <v>Q3</v>
      </c>
      <c r="M30" s="1" t="d">
        <f>DATE(YEAR(SalesData[[#This Row],[Date]]),MONTH(SalesData[[#This Row],[Date]]),1)</f>
        <v>2023-08-01</v>
      </c>
      <c r="N3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1" spans="1:14">
      <c r="A31">
        <v>30</v>
      </c>
      <c r="B31" s="1" t="d">
        <v>2023-10-29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t="str">
        <f>TEXT(SalesData[[#This Row],[Date]],"yyyy-mm")</f>
        <v>2023-10</v>
      </c>
      <c r="K31">
        <f>YEAR(SalesData[[#This Row],[Date]])</f>
        <v>2023</v>
      </c>
      <c r="L31" t="str">
        <f>"Q"&amp;ROUNDUP(MONTH(SalesData[[#This Row],[Date]])/3,0)</f>
        <v>Q4</v>
      </c>
      <c r="M31" s="1" t="d">
        <f>DATE(YEAR(SalesData[[#This Row],[Date]]),MONTH(SalesData[[#This Row],[Date]]),1)</f>
        <v>2023-10-01</v>
      </c>
      <c r="N3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2" spans="1:14">
      <c r="A32">
        <v>31</v>
      </c>
      <c r="B32" s="1" t="d">
        <v>2023-05-23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t="str">
        <f>TEXT(SalesData[[#This Row],[Date]],"yyyy-mm")</f>
        <v>2023-05</v>
      </c>
      <c r="K32">
        <f>YEAR(SalesData[[#This Row],[Date]])</f>
        <v>2023</v>
      </c>
      <c r="L32" t="str">
        <f>"Q"&amp;ROUNDUP(MONTH(SalesData[[#This Row],[Date]])/3,0)</f>
        <v>Q2</v>
      </c>
      <c r="M32" s="1" t="d">
        <f>DATE(YEAR(SalesData[[#This Row],[Date]]),MONTH(SalesData[[#This Row],[Date]]),1)</f>
        <v>2023-05-01</v>
      </c>
      <c r="N3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3" spans="1:14">
      <c r="A33">
        <v>32</v>
      </c>
      <c r="B33" s="1" t="d">
        <v>2023-01-04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t="str">
        <f>TEXT(SalesData[[#This Row],[Date]],"yyyy-mm")</f>
        <v>2023-01</v>
      </c>
      <c r="K33">
        <f>YEAR(SalesData[[#This Row],[Date]])</f>
        <v>2023</v>
      </c>
      <c r="L33" t="str">
        <f>"Q"&amp;ROUNDUP(MONTH(SalesData[[#This Row],[Date]])/3,0)</f>
        <v>Q1</v>
      </c>
      <c r="M33" s="1" t="d">
        <f>DATE(YEAR(SalesData[[#This Row],[Date]]),MONTH(SalesData[[#This Row],[Date]]),1)</f>
        <v>2023-01-01</v>
      </c>
      <c r="N3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4" spans="1:14">
      <c r="A34">
        <v>33</v>
      </c>
      <c r="B34" s="1" t="d">
        <v>2023-03-23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t="str">
        <f>TEXT(SalesData[[#This Row],[Date]],"yyyy-mm")</f>
        <v>2023-03</v>
      </c>
      <c r="K34">
        <f>YEAR(SalesData[[#This Row],[Date]])</f>
        <v>2023</v>
      </c>
      <c r="L34" t="str">
        <f>"Q"&amp;ROUNDUP(MONTH(SalesData[[#This Row],[Date]])/3,0)</f>
        <v>Q1</v>
      </c>
      <c r="M34" s="1" t="d">
        <f>DATE(YEAR(SalesData[[#This Row],[Date]]),MONTH(SalesData[[#This Row],[Date]]),1)</f>
        <v>2023-03-01</v>
      </c>
      <c r="N3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" spans="1:14">
      <c r="A35">
        <v>34</v>
      </c>
      <c r="B35" s="1" t="d">
        <v>2023-12-24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t="str">
        <f>TEXT(SalesData[[#This Row],[Date]],"yyyy-mm")</f>
        <v>2023-12</v>
      </c>
      <c r="K35">
        <f>YEAR(SalesData[[#This Row],[Date]])</f>
        <v>2023</v>
      </c>
      <c r="L35" t="str">
        <f>"Q"&amp;ROUNDUP(MONTH(SalesData[[#This Row],[Date]])/3,0)</f>
        <v>Q4</v>
      </c>
      <c r="M35" s="1" t="d">
        <f>DATE(YEAR(SalesData[[#This Row],[Date]]),MONTH(SalesData[[#This Row],[Date]]),1)</f>
        <v>2023-12-01</v>
      </c>
      <c r="N3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" spans="1:14">
      <c r="A36">
        <v>35</v>
      </c>
      <c r="B36" s="1" t="d">
        <v>2023-08-05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t="str">
        <f>TEXT(SalesData[[#This Row],[Date]],"yyyy-mm")</f>
        <v>2023-08</v>
      </c>
      <c r="K36">
        <f>YEAR(SalesData[[#This Row],[Date]])</f>
        <v>2023</v>
      </c>
      <c r="L36" t="str">
        <f>"Q"&amp;ROUNDUP(MONTH(SalesData[[#This Row],[Date]])/3,0)</f>
        <v>Q3</v>
      </c>
      <c r="M36" s="1" t="d">
        <f>DATE(YEAR(SalesData[[#This Row],[Date]]),MONTH(SalesData[[#This Row],[Date]]),1)</f>
        <v>2023-08-01</v>
      </c>
      <c r="N3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7" spans="1:14">
      <c r="A37">
        <v>36</v>
      </c>
      <c r="B37" s="1" t="d">
        <v>2023-06-24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t="str">
        <f>TEXT(SalesData[[#This Row],[Date]],"yyyy-mm")</f>
        <v>2023-06</v>
      </c>
      <c r="K37">
        <f>YEAR(SalesData[[#This Row],[Date]])</f>
        <v>2023</v>
      </c>
      <c r="L37" t="str">
        <f>"Q"&amp;ROUNDUP(MONTH(SalesData[[#This Row],[Date]])/3,0)</f>
        <v>Q2</v>
      </c>
      <c r="M37" s="1" t="d">
        <f>DATE(YEAR(SalesData[[#This Row],[Date]]),MONTH(SalesData[[#This Row],[Date]]),1)</f>
        <v>2023-06-01</v>
      </c>
      <c r="N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" spans="1:14">
      <c r="A38">
        <v>37</v>
      </c>
      <c r="B38" s="1" t="d">
        <v>2023-05-23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t="str">
        <f>TEXT(SalesData[[#This Row],[Date]],"yyyy-mm")</f>
        <v>2023-05</v>
      </c>
      <c r="K38">
        <f>YEAR(SalesData[[#This Row],[Date]])</f>
        <v>2023</v>
      </c>
      <c r="L38" t="str">
        <f>"Q"&amp;ROUNDUP(MONTH(SalesData[[#This Row],[Date]])/3,0)</f>
        <v>Q2</v>
      </c>
      <c r="M38" s="1" t="d">
        <f>DATE(YEAR(SalesData[[#This Row],[Date]]),MONTH(SalesData[[#This Row],[Date]]),1)</f>
        <v>2023-05-01</v>
      </c>
      <c r="N3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9" spans="1:14">
      <c r="A39">
        <v>38</v>
      </c>
      <c r="B39" s="1" t="d">
        <v>2023-03-21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t="str">
        <f>TEXT(SalesData[[#This Row],[Date]],"yyyy-mm")</f>
        <v>2023-03</v>
      </c>
      <c r="K39">
        <f>YEAR(SalesData[[#This Row],[Date]])</f>
        <v>2023</v>
      </c>
      <c r="L39" t="str">
        <f>"Q"&amp;ROUNDUP(MONTH(SalesData[[#This Row],[Date]])/3,0)</f>
        <v>Q1</v>
      </c>
      <c r="M39" s="1" t="d">
        <f>DATE(YEAR(SalesData[[#This Row],[Date]]),MONTH(SalesData[[#This Row],[Date]]),1)</f>
        <v>2023-03-01</v>
      </c>
      <c r="N3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0" spans="1:14">
      <c r="A40">
        <v>39</v>
      </c>
      <c r="B40" s="1" t="d">
        <v>2023-04-21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t="str">
        <f>TEXT(SalesData[[#This Row],[Date]],"yyyy-mm")</f>
        <v>2023-04</v>
      </c>
      <c r="K40">
        <f>YEAR(SalesData[[#This Row],[Date]])</f>
        <v>2023</v>
      </c>
      <c r="L40" t="str">
        <f>"Q"&amp;ROUNDUP(MONTH(SalesData[[#This Row],[Date]])/3,0)</f>
        <v>Q2</v>
      </c>
      <c r="M40" s="1" t="d">
        <f>DATE(YEAR(SalesData[[#This Row],[Date]]),MONTH(SalesData[[#This Row],[Date]]),1)</f>
        <v>2023-04-01</v>
      </c>
      <c r="N4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1" spans="1:14">
      <c r="A41">
        <v>40</v>
      </c>
      <c r="B41" s="1" t="d">
        <v>2023-06-22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t="str">
        <f>TEXT(SalesData[[#This Row],[Date]],"yyyy-mm")</f>
        <v>2023-06</v>
      </c>
      <c r="K41">
        <f>YEAR(SalesData[[#This Row],[Date]])</f>
        <v>2023</v>
      </c>
      <c r="L41" t="str">
        <f>"Q"&amp;ROUNDUP(MONTH(SalesData[[#This Row],[Date]])/3,0)</f>
        <v>Q2</v>
      </c>
      <c r="M41" s="1" t="d">
        <f>DATE(YEAR(SalesData[[#This Row],[Date]]),MONTH(SalesData[[#This Row],[Date]]),1)</f>
        <v>2023-06-01</v>
      </c>
      <c r="N4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2" spans="1:14">
      <c r="A42">
        <v>41</v>
      </c>
      <c r="B42" s="1" t="d">
        <v>2023-02-22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t="str">
        <f>TEXT(SalesData[[#This Row],[Date]],"yyyy-mm")</f>
        <v>2023-02</v>
      </c>
      <c r="K42">
        <f>YEAR(SalesData[[#This Row],[Date]])</f>
        <v>2023</v>
      </c>
      <c r="L42" t="str">
        <f>"Q"&amp;ROUNDUP(MONTH(SalesData[[#This Row],[Date]])/3,0)</f>
        <v>Q1</v>
      </c>
      <c r="M42" s="1" t="d">
        <f>DATE(YEAR(SalesData[[#This Row],[Date]]),MONTH(SalesData[[#This Row],[Date]]),1)</f>
        <v>2023-02-01</v>
      </c>
      <c r="N4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3" spans="1:14">
      <c r="A43">
        <v>42</v>
      </c>
      <c r="B43" s="1" t="d">
        <v>2023-02-17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t="str">
        <f>TEXT(SalesData[[#This Row],[Date]],"yyyy-mm")</f>
        <v>2023-02</v>
      </c>
      <c r="K43">
        <f>YEAR(SalesData[[#This Row],[Date]])</f>
        <v>2023</v>
      </c>
      <c r="L43" t="str">
        <f>"Q"&amp;ROUNDUP(MONTH(SalesData[[#This Row],[Date]])/3,0)</f>
        <v>Q1</v>
      </c>
      <c r="M43" s="1" t="d">
        <f>DATE(YEAR(SalesData[[#This Row],[Date]]),MONTH(SalesData[[#This Row],[Date]]),1)</f>
        <v>2023-02-01</v>
      </c>
      <c r="N4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4" spans="1:14">
      <c r="A44">
        <v>43</v>
      </c>
      <c r="B44" s="1" t="d">
        <v>2023-07-14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t="str">
        <f>TEXT(SalesData[[#This Row],[Date]],"yyyy-mm")</f>
        <v>2023-07</v>
      </c>
      <c r="K44">
        <f>YEAR(SalesData[[#This Row],[Date]])</f>
        <v>2023</v>
      </c>
      <c r="L44" t="str">
        <f>"Q"&amp;ROUNDUP(MONTH(SalesData[[#This Row],[Date]])/3,0)</f>
        <v>Q3</v>
      </c>
      <c r="M44" s="1" t="d">
        <f>DATE(YEAR(SalesData[[#This Row],[Date]]),MONTH(SalesData[[#This Row],[Date]]),1)</f>
        <v>2023-07-01</v>
      </c>
      <c r="N4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5" spans="1:14">
      <c r="A45">
        <v>44</v>
      </c>
      <c r="B45" s="1" t="d">
        <v>2023-02-19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t="str">
        <f>TEXT(SalesData[[#This Row],[Date]],"yyyy-mm")</f>
        <v>2023-02</v>
      </c>
      <c r="K45">
        <f>YEAR(SalesData[[#This Row],[Date]])</f>
        <v>2023</v>
      </c>
      <c r="L45" t="str">
        <f>"Q"&amp;ROUNDUP(MONTH(SalesData[[#This Row],[Date]])/3,0)</f>
        <v>Q1</v>
      </c>
      <c r="M45" s="1" t="d">
        <f>DATE(YEAR(SalesData[[#This Row],[Date]]),MONTH(SalesData[[#This Row],[Date]]),1)</f>
        <v>2023-02-01</v>
      </c>
      <c r="N4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6" spans="1:14">
      <c r="A46">
        <v>45</v>
      </c>
      <c r="B46" s="1" t="d">
        <v>2023-07-03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t="str">
        <f>TEXT(SalesData[[#This Row],[Date]],"yyyy-mm")</f>
        <v>2023-07</v>
      </c>
      <c r="K46">
        <f>YEAR(SalesData[[#This Row],[Date]])</f>
        <v>2023</v>
      </c>
      <c r="L46" t="str">
        <f>"Q"&amp;ROUNDUP(MONTH(SalesData[[#This Row],[Date]])/3,0)</f>
        <v>Q3</v>
      </c>
      <c r="M46" s="1" t="d">
        <f>DATE(YEAR(SalesData[[#This Row],[Date]]),MONTH(SalesData[[#This Row],[Date]]),1)</f>
        <v>2023-07-01</v>
      </c>
      <c r="N4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7" spans="1:14">
      <c r="A47">
        <v>46</v>
      </c>
      <c r="B47" s="1" t="d">
        <v>2023-06-26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t="str">
        <f>TEXT(SalesData[[#This Row],[Date]],"yyyy-mm")</f>
        <v>2023-06</v>
      </c>
      <c r="K47">
        <f>YEAR(SalesData[[#This Row],[Date]])</f>
        <v>2023</v>
      </c>
      <c r="L47" t="str">
        <f>"Q"&amp;ROUNDUP(MONTH(SalesData[[#This Row],[Date]])/3,0)</f>
        <v>Q2</v>
      </c>
      <c r="M47" s="1" t="d">
        <f>DATE(YEAR(SalesData[[#This Row],[Date]]),MONTH(SalesData[[#This Row],[Date]]),1)</f>
        <v>2023-06-01</v>
      </c>
      <c r="N4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8" spans="1:14">
      <c r="A48">
        <v>47</v>
      </c>
      <c r="B48" s="1" t="d">
        <v>2023-11-06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t="str">
        <f>TEXT(SalesData[[#This Row],[Date]],"yyyy-mm")</f>
        <v>2023-11</v>
      </c>
      <c r="K48">
        <f>YEAR(SalesData[[#This Row],[Date]])</f>
        <v>2023</v>
      </c>
      <c r="L48" t="str">
        <f>"Q"&amp;ROUNDUP(MONTH(SalesData[[#This Row],[Date]])/3,0)</f>
        <v>Q4</v>
      </c>
      <c r="M48" s="1" t="d">
        <f>DATE(YEAR(SalesData[[#This Row],[Date]]),MONTH(SalesData[[#This Row],[Date]]),1)</f>
        <v>2023-11-01</v>
      </c>
      <c r="N4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9" spans="1:14">
      <c r="A49">
        <v>48</v>
      </c>
      <c r="B49" s="1" t="d">
        <v>2023-05-16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t="str">
        <f>TEXT(SalesData[[#This Row],[Date]],"yyyy-mm")</f>
        <v>2023-05</v>
      </c>
      <c r="K49">
        <f>YEAR(SalesData[[#This Row],[Date]])</f>
        <v>2023</v>
      </c>
      <c r="L49" t="str">
        <f>"Q"&amp;ROUNDUP(MONTH(SalesData[[#This Row],[Date]])/3,0)</f>
        <v>Q2</v>
      </c>
      <c r="M49" s="1" t="d">
        <f>DATE(YEAR(SalesData[[#This Row],[Date]]),MONTH(SalesData[[#This Row],[Date]]),1)</f>
        <v>2023-05-01</v>
      </c>
      <c r="N4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0" spans="1:14">
      <c r="A50">
        <v>49</v>
      </c>
      <c r="B50" s="1" t="d">
        <v>2023-01-23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t="str">
        <f>TEXT(SalesData[[#This Row],[Date]],"yyyy-mm")</f>
        <v>2023-01</v>
      </c>
      <c r="K50">
        <f>YEAR(SalesData[[#This Row],[Date]])</f>
        <v>2023</v>
      </c>
      <c r="L50" t="str">
        <f>"Q"&amp;ROUNDUP(MONTH(SalesData[[#This Row],[Date]])/3,0)</f>
        <v>Q1</v>
      </c>
      <c r="M50" s="1" t="d">
        <f>DATE(YEAR(SalesData[[#This Row],[Date]]),MONTH(SalesData[[#This Row],[Date]]),1)</f>
        <v>2023-01-01</v>
      </c>
      <c r="N5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1" spans="1:14">
      <c r="A51">
        <v>50</v>
      </c>
      <c r="B51" s="1" t="d">
        <v>2023-08-24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t="str">
        <f>TEXT(SalesData[[#This Row],[Date]],"yyyy-mm")</f>
        <v>2023-08</v>
      </c>
      <c r="K51">
        <f>YEAR(SalesData[[#This Row],[Date]])</f>
        <v>2023</v>
      </c>
      <c r="L51" t="str">
        <f>"Q"&amp;ROUNDUP(MONTH(SalesData[[#This Row],[Date]])/3,0)</f>
        <v>Q3</v>
      </c>
      <c r="M51" s="1" t="d">
        <f>DATE(YEAR(SalesData[[#This Row],[Date]]),MONTH(SalesData[[#This Row],[Date]]),1)</f>
        <v>2023-08-01</v>
      </c>
      <c r="N5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2" spans="1:14">
      <c r="A52">
        <v>51</v>
      </c>
      <c r="B52" s="1" t="d">
        <v>2023-10-02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t="str">
        <f>TEXT(SalesData[[#This Row],[Date]],"yyyy-mm")</f>
        <v>2023-10</v>
      </c>
      <c r="K52">
        <f>YEAR(SalesData[[#This Row],[Date]])</f>
        <v>2023</v>
      </c>
      <c r="L52" t="str">
        <f>"Q"&amp;ROUNDUP(MONTH(SalesData[[#This Row],[Date]])/3,0)</f>
        <v>Q4</v>
      </c>
      <c r="M52" s="1" t="d">
        <f>DATE(YEAR(SalesData[[#This Row],[Date]]),MONTH(SalesData[[#This Row],[Date]]),1)</f>
        <v>2023-10-01</v>
      </c>
      <c r="N5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3" spans="1:14">
      <c r="A53">
        <v>52</v>
      </c>
      <c r="B53" s="1" t="d">
        <v>2023-03-05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t="str">
        <f>TEXT(SalesData[[#This Row],[Date]],"yyyy-mm")</f>
        <v>2023-03</v>
      </c>
      <c r="K53">
        <f>YEAR(SalesData[[#This Row],[Date]])</f>
        <v>2023</v>
      </c>
      <c r="L53" t="str">
        <f>"Q"&amp;ROUNDUP(MONTH(SalesData[[#This Row],[Date]])/3,0)</f>
        <v>Q1</v>
      </c>
      <c r="M53" s="1" t="d">
        <f>DATE(YEAR(SalesData[[#This Row],[Date]]),MONTH(SalesData[[#This Row],[Date]]),1)</f>
        <v>2023-03-01</v>
      </c>
      <c r="N5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4" spans="1:14">
      <c r="A54">
        <v>53</v>
      </c>
      <c r="B54" s="1" t="d">
        <v>2023-07-13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t="str">
        <f>TEXT(SalesData[[#This Row],[Date]],"yyyy-mm")</f>
        <v>2023-07</v>
      </c>
      <c r="K54">
        <f>YEAR(SalesData[[#This Row],[Date]])</f>
        <v>2023</v>
      </c>
      <c r="L54" t="str">
        <f>"Q"&amp;ROUNDUP(MONTH(SalesData[[#This Row],[Date]])/3,0)</f>
        <v>Q3</v>
      </c>
      <c r="M54" s="1" t="d">
        <f>DATE(YEAR(SalesData[[#This Row],[Date]]),MONTH(SalesData[[#This Row],[Date]]),1)</f>
        <v>2023-07-01</v>
      </c>
      <c r="N5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5" spans="1:14">
      <c r="A55">
        <v>54</v>
      </c>
      <c r="B55" s="1" t="d">
        <v>2023-02-10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t="str">
        <f>TEXT(SalesData[[#This Row],[Date]],"yyyy-mm")</f>
        <v>2023-02</v>
      </c>
      <c r="K55">
        <f>YEAR(SalesData[[#This Row],[Date]])</f>
        <v>2023</v>
      </c>
      <c r="L55" t="str">
        <f>"Q"&amp;ROUNDUP(MONTH(SalesData[[#This Row],[Date]])/3,0)</f>
        <v>Q1</v>
      </c>
      <c r="M55" s="1" t="d">
        <f>DATE(YEAR(SalesData[[#This Row],[Date]]),MONTH(SalesData[[#This Row],[Date]]),1)</f>
        <v>2023-02-01</v>
      </c>
      <c r="N5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6" spans="1:14">
      <c r="A56">
        <v>55</v>
      </c>
      <c r="B56" s="1" t="d">
        <v>2023-10-10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t="str">
        <f>TEXT(SalesData[[#This Row],[Date]],"yyyy-mm")</f>
        <v>2023-10</v>
      </c>
      <c r="K56">
        <f>YEAR(SalesData[[#This Row],[Date]])</f>
        <v>2023</v>
      </c>
      <c r="L56" t="str">
        <f>"Q"&amp;ROUNDUP(MONTH(SalesData[[#This Row],[Date]])/3,0)</f>
        <v>Q4</v>
      </c>
      <c r="M56" s="1" t="d">
        <f>DATE(YEAR(SalesData[[#This Row],[Date]]),MONTH(SalesData[[#This Row],[Date]]),1)</f>
        <v>2023-10-01</v>
      </c>
      <c r="N5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7" spans="1:14">
      <c r="A57">
        <v>56</v>
      </c>
      <c r="B57" s="1" t="d">
        <v>2023-05-31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t="str">
        <f>TEXT(SalesData[[#This Row],[Date]],"yyyy-mm")</f>
        <v>2023-05</v>
      </c>
      <c r="K57">
        <f>YEAR(SalesData[[#This Row],[Date]])</f>
        <v>2023</v>
      </c>
      <c r="L57" t="str">
        <f>"Q"&amp;ROUNDUP(MONTH(SalesData[[#This Row],[Date]])/3,0)</f>
        <v>Q2</v>
      </c>
      <c r="M57" s="1" t="d">
        <f>DATE(YEAR(SalesData[[#This Row],[Date]]),MONTH(SalesData[[#This Row],[Date]]),1)</f>
        <v>2023-05-01</v>
      </c>
      <c r="N5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8" spans="1:14">
      <c r="A58">
        <v>57</v>
      </c>
      <c r="B58" s="1" t="d">
        <v>2023-11-18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t="str">
        <f>TEXT(SalesData[[#This Row],[Date]],"yyyy-mm")</f>
        <v>2023-11</v>
      </c>
      <c r="K58">
        <f>YEAR(SalesData[[#This Row],[Date]])</f>
        <v>2023</v>
      </c>
      <c r="L58" t="str">
        <f>"Q"&amp;ROUNDUP(MONTH(SalesData[[#This Row],[Date]])/3,0)</f>
        <v>Q4</v>
      </c>
      <c r="M58" s="1" t="d">
        <f>DATE(YEAR(SalesData[[#This Row],[Date]]),MONTH(SalesData[[#This Row],[Date]]),1)</f>
        <v>2023-11-01</v>
      </c>
      <c r="N5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9" spans="1:14">
      <c r="A59">
        <v>58</v>
      </c>
      <c r="B59" s="1" t="d">
        <v>2023-11-13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t="str">
        <f>TEXT(SalesData[[#This Row],[Date]],"yyyy-mm")</f>
        <v>2023-11</v>
      </c>
      <c r="K59">
        <f>YEAR(SalesData[[#This Row],[Date]])</f>
        <v>2023</v>
      </c>
      <c r="L59" t="str">
        <f>"Q"&amp;ROUNDUP(MONTH(SalesData[[#This Row],[Date]])/3,0)</f>
        <v>Q4</v>
      </c>
      <c r="M59" s="1" t="d">
        <f>DATE(YEAR(SalesData[[#This Row],[Date]]),MONTH(SalesData[[#This Row],[Date]]),1)</f>
        <v>2023-11-01</v>
      </c>
      <c r="N59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0" spans="1:14">
      <c r="A60">
        <v>59</v>
      </c>
      <c r="B60" s="1" t="d">
        <v>2023-07-05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t="str">
        <f>TEXT(SalesData[[#This Row],[Date]],"yyyy-mm")</f>
        <v>2023-07</v>
      </c>
      <c r="K60">
        <f>YEAR(SalesData[[#This Row],[Date]])</f>
        <v>2023</v>
      </c>
      <c r="L60" t="str">
        <f>"Q"&amp;ROUNDUP(MONTH(SalesData[[#This Row],[Date]])/3,0)</f>
        <v>Q3</v>
      </c>
      <c r="M60" s="1" t="d">
        <f>DATE(YEAR(SalesData[[#This Row],[Date]]),MONTH(SalesData[[#This Row],[Date]]),1)</f>
        <v>2023-07-01</v>
      </c>
      <c r="N6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" spans="1:14">
      <c r="A61">
        <v>60</v>
      </c>
      <c r="B61" s="1" t="d">
        <v>2023-10-23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t="str">
        <f>TEXT(SalesData[[#This Row],[Date]],"yyyy-mm")</f>
        <v>2023-10</v>
      </c>
      <c r="K61">
        <f>YEAR(SalesData[[#This Row],[Date]])</f>
        <v>2023</v>
      </c>
      <c r="L61" t="str">
        <f>"Q"&amp;ROUNDUP(MONTH(SalesData[[#This Row],[Date]])/3,0)</f>
        <v>Q4</v>
      </c>
      <c r="M61" s="1" t="d">
        <f>DATE(YEAR(SalesData[[#This Row],[Date]]),MONTH(SalesData[[#This Row],[Date]]),1)</f>
        <v>2023-10-01</v>
      </c>
      <c r="N6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2" spans="1:14">
      <c r="A62">
        <v>61</v>
      </c>
      <c r="B62" s="1" t="d">
        <v>2023-04-09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t="str">
        <f>TEXT(SalesData[[#This Row],[Date]],"yyyy-mm")</f>
        <v>2023-04</v>
      </c>
      <c r="K62">
        <f>YEAR(SalesData[[#This Row],[Date]])</f>
        <v>2023</v>
      </c>
      <c r="L62" t="str">
        <f>"Q"&amp;ROUNDUP(MONTH(SalesData[[#This Row],[Date]])/3,0)</f>
        <v>Q2</v>
      </c>
      <c r="M62" s="1" t="d">
        <f>DATE(YEAR(SalesData[[#This Row],[Date]]),MONTH(SalesData[[#This Row],[Date]]),1)</f>
        <v>2023-04-01</v>
      </c>
      <c r="N6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3" spans="1:14">
      <c r="A63">
        <v>62</v>
      </c>
      <c r="B63" s="1" t="d">
        <v>2023-12-27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t="str">
        <f>TEXT(SalesData[[#This Row],[Date]],"yyyy-mm")</f>
        <v>2023-12</v>
      </c>
      <c r="K63">
        <f>YEAR(SalesData[[#This Row],[Date]])</f>
        <v>2023</v>
      </c>
      <c r="L63" t="str">
        <f>"Q"&amp;ROUNDUP(MONTH(SalesData[[#This Row],[Date]])/3,0)</f>
        <v>Q4</v>
      </c>
      <c r="M63" s="1" t="d">
        <f>DATE(YEAR(SalesData[[#This Row],[Date]]),MONTH(SalesData[[#This Row],[Date]]),1)</f>
        <v>2023-12-01</v>
      </c>
      <c r="N63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4" spans="1:14">
      <c r="A64">
        <v>63</v>
      </c>
      <c r="B64" s="1" t="d">
        <v>2023-02-05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t="str">
        <f>TEXT(SalesData[[#This Row],[Date]],"yyyy-mm")</f>
        <v>2023-02</v>
      </c>
      <c r="K64">
        <f>YEAR(SalesData[[#This Row],[Date]])</f>
        <v>2023</v>
      </c>
      <c r="L64" t="str">
        <f>"Q"&amp;ROUNDUP(MONTH(SalesData[[#This Row],[Date]])/3,0)</f>
        <v>Q1</v>
      </c>
      <c r="M64" s="1" t="d">
        <f>DATE(YEAR(SalesData[[#This Row],[Date]]),MONTH(SalesData[[#This Row],[Date]]),1)</f>
        <v>2023-02-01</v>
      </c>
      <c r="N6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" spans="1:14">
      <c r="A65">
        <v>64</v>
      </c>
      <c r="B65" s="1" t="d">
        <v>2023-01-24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t="str">
        <f>TEXT(SalesData[[#This Row],[Date]],"yyyy-mm")</f>
        <v>2023-01</v>
      </c>
      <c r="K65">
        <f>YEAR(SalesData[[#This Row],[Date]])</f>
        <v>2023</v>
      </c>
      <c r="L65" t="str">
        <f>"Q"&amp;ROUNDUP(MONTH(SalesData[[#This Row],[Date]])/3,0)</f>
        <v>Q1</v>
      </c>
      <c r="M65" s="1" t="d">
        <f>DATE(YEAR(SalesData[[#This Row],[Date]]),MONTH(SalesData[[#This Row],[Date]]),1)</f>
        <v>2023-01-01</v>
      </c>
      <c r="N6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6" spans="1:14">
      <c r="A66">
        <v>65</v>
      </c>
      <c r="B66" s="1" t="d">
        <v>2023-12-05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t="str">
        <f>TEXT(SalesData[[#This Row],[Date]],"yyyy-mm")</f>
        <v>2023-12</v>
      </c>
      <c r="K66">
        <f>YEAR(SalesData[[#This Row],[Date]])</f>
        <v>2023</v>
      </c>
      <c r="L66" t="str">
        <f>"Q"&amp;ROUNDUP(MONTH(SalesData[[#This Row],[Date]])/3,0)</f>
        <v>Q4</v>
      </c>
      <c r="M66" s="1" t="d">
        <f>DATE(YEAR(SalesData[[#This Row],[Date]]),MONTH(SalesData[[#This Row],[Date]]),1)</f>
        <v>2023-12-01</v>
      </c>
      <c r="N6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7" spans="1:14">
      <c r="A67">
        <v>66</v>
      </c>
      <c r="B67" s="1" t="d">
        <v>2023-04-27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t="str">
        <f>TEXT(SalesData[[#This Row],[Date]],"yyyy-mm")</f>
        <v>2023-04</v>
      </c>
      <c r="K67">
        <f>YEAR(SalesData[[#This Row],[Date]])</f>
        <v>2023</v>
      </c>
      <c r="L67" t="str">
        <f>"Q"&amp;ROUNDUP(MONTH(SalesData[[#This Row],[Date]])/3,0)</f>
        <v>Q2</v>
      </c>
      <c r="M67" s="1" t="d">
        <f>DATE(YEAR(SalesData[[#This Row],[Date]]),MONTH(SalesData[[#This Row],[Date]]),1)</f>
        <v>2023-04-01</v>
      </c>
      <c r="N6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8" spans="1:14">
      <c r="A68">
        <v>67</v>
      </c>
      <c r="B68" s="1" t="d">
        <v>2023-05-29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t="str">
        <f>TEXT(SalesData[[#This Row],[Date]],"yyyy-mm")</f>
        <v>2023-05</v>
      </c>
      <c r="K68">
        <f>YEAR(SalesData[[#This Row],[Date]])</f>
        <v>2023</v>
      </c>
      <c r="L68" t="str">
        <f>"Q"&amp;ROUNDUP(MONTH(SalesData[[#This Row],[Date]])/3,0)</f>
        <v>Q2</v>
      </c>
      <c r="M68" s="1" t="d">
        <f>DATE(YEAR(SalesData[[#This Row],[Date]]),MONTH(SalesData[[#This Row],[Date]]),1)</f>
        <v>2023-05-01</v>
      </c>
      <c r="N6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9" spans="1:14">
      <c r="A69">
        <v>68</v>
      </c>
      <c r="B69" s="1" t="d">
        <v>2023-02-10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t="str">
        <f>TEXT(SalesData[[#This Row],[Date]],"yyyy-mm")</f>
        <v>2023-02</v>
      </c>
      <c r="K69">
        <f>YEAR(SalesData[[#This Row],[Date]])</f>
        <v>2023</v>
      </c>
      <c r="L69" t="str">
        <f>"Q"&amp;ROUNDUP(MONTH(SalesData[[#This Row],[Date]])/3,0)</f>
        <v>Q1</v>
      </c>
      <c r="M69" s="1" t="d">
        <f>DATE(YEAR(SalesData[[#This Row],[Date]]),MONTH(SalesData[[#This Row],[Date]]),1)</f>
        <v>2023-02-01</v>
      </c>
      <c r="N6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0" spans="1:14">
      <c r="A70">
        <v>69</v>
      </c>
      <c r="B70" s="1" t="d">
        <v>2023-04-30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t="str">
        <f>TEXT(SalesData[[#This Row],[Date]],"yyyy-mm")</f>
        <v>2023-04</v>
      </c>
      <c r="K70">
        <f>YEAR(SalesData[[#This Row],[Date]])</f>
        <v>2023</v>
      </c>
      <c r="L70" t="str">
        <f>"Q"&amp;ROUNDUP(MONTH(SalesData[[#This Row],[Date]])/3,0)</f>
        <v>Q2</v>
      </c>
      <c r="M70" s="1" t="d">
        <f>DATE(YEAR(SalesData[[#This Row],[Date]]),MONTH(SalesData[[#This Row],[Date]]),1)</f>
        <v>2023-04-01</v>
      </c>
      <c r="N7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1" spans="1:14">
      <c r="A71">
        <v>70</v>
      </c>
      <c r="B71" s="1" t="d">
        <v>2023-02-21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t="str">
        <f>TEXT(SalesData[[#This Row],[Date]],"yyyy-mm")</f>
        <v>2023-02</v>
      </c>
      <c r="K71">
        <f>YEAR(SalesData[[#This Row],[Date]])</f>
        <v>2023</v>
      </c>
      <c r="L71" t="str">
        <f>"Q"&amp;ROUNDUP(MONTH(SalesData[[#This Row],[Date]])/3,0)</f>
        <v>Q1</v>
      </c>
      <c r="M71" s="1" t="d">
        <f>DATE(YEAR(SalesData[[#This Row],[Date]]),MONTH(SalesData[[#This Row],[Date]]),1)</f>
        <v>2023-02-01</v>
      </c>
      <c r="N7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2" spans="1:14">
      <c r="A72">
        <v>71</v>
      </c>
      <c r="B72" s="1" t="d">
        <v>2023-07-14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t="str">
        <f>TEXT(SalesData[[#This Row],[Date]],"yyyy-mm")</f>
        <v>2023-07</v>
      </c>
      <c r="K72">
        <f>YEAR(SalesData[[#This Row],[Date]])</f>
        <v>2023</v>
      </c>
      <c r="L72" t="str">
        <f>"Q"&amp;ROUNDUP(MONTH(SalesData[[#This Row],[Date]])/3,0)</f>
        <v>Q3</v>
      </c>
      <c r="M72" s="1" t="d">
        <f>DATE(YEAR(SalesData[[#This Row],[Date]]),MONTH(SalesData[[#This Row],[Date]]),1)</f>
        <v>2023-07-01</v>
      </c>
      <c r="N7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3" spans="1:14">
      <c r="A73">
        <v>72</v>
      </c>
      <c r="B73" s="1" t="d">
        <v>2023-05-23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t="str">
        <f>TEXT(SalesData[[#This Row],[Date]],"yyyy-mm")</f>
        <v>2023-05</v>
      </c>
      <c r="K73">
        <f>YEAR(SalesData[[#This Row],[Date]])</f>
        <v>2023</v>
      </c>
      <c r="L73" t="str">
        <f>"Q"&amp;ROUNDUP(MONTH(SalesData[[#This Row],[Date]])/3,0)</f>
        <v>Q2</v>
      </c>
      <c r="M73" s="1" t="d">
        <f>DATE(YEAR(SalesData[[#This Row],[Date]]),MONTH(SalesData[[#This Row],[Date]]),1)</f>
        <v>2023-05-01</v>
      </c>
      <c r="N7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4" spans="1:14">
      <c r="A74">
        <v>73</v>
      </c>
      <c r="B74" s="1" t="d">
        <v>2023-08-21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t="str">
        <f>TEXT(SalesData[[#This Row],[Date]],"yyyy-mm")</f>
        <v>2023-08</v>
      </c>
      <c r="K74">
        <f>YEAR(SalesData[[#This Row],[Date]])</f>
        <v>2023</v>
      </c>
      <c r="L74" t="str">
        <f>"Q"&amp;ROUNDUP(MONTH(SalesData[[#This Row],[Date]])/3,0)</f>
        <v>Q3</v>
      </c>
      <c r="M74" s="1" t="d">
        <f>DATE(YEAR(SalesData[[#This Row],[Date]]),MONTH(SalesData[[#This Row],[Date]]),1)</f>
        <v>2023-08-01</v>
      </c>
      <c r="N7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5" spans="1:14">
      <c r="A75">
        <v>74</v>
      </c>
      <c r="B75" s="1" t="d">
        <v>2023-11-22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t="str">
        <f>TEXT(SalesData[[#This Row],[Date]],"yyyy-mm")</f>
        <v>2023-11</v>
      </c>
      <c r="K75">
        <f>YEAR(SalesData[[#This Row],[Date]])</f>
        <v>2023</v>
      </c>
      <c r="L75" t="str">
        <f>"Q"&amp;ROUNDUP(MONTH(SalesData[[#This Row],[Date]])/3,0)</f>
        <v>Q4</v>
      </c>
      <c r="M75" s="1" t="d">
        <f>DATE(YEAR(SalesData[[#This Row],[Date]]),MONTH(SalesData[[#This Row],[Date]]),1)</f>
        <v>2023-11-01</v>
      </c>
      <c r="N7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76" spans="1:14">
      <c r="A76">
        <v>75</v>
      </c>
      <c r="B76" s="1" t="d">
        <v>2023-07-06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t="str">
        <f>TEXT(SalesData[[#This Row],[Date]],"yyyy-mm")</f>
        <v>2023-07</v>
      </c>
      <c r="K76">
        <f>YEAR(SalesData[[#This Row],[Date]])</f>
        <v>2023</v>
      </c>
      <c r="L76" t="str">
        <f>"Q"&amp;ROUNDUP(MONTH(SalesData[[#This Row],[Date]])/3,0)</f>
        <v>Q3</v>
      </c>
      <c r="M76" s="1" t="d">
        <f>DATE(YEAR(SalesData[[#This Row],[Date]]),MONTH(SalesData[[#This Row],[Date]]),1)</f>
        <v>2023-07-01</v>
      </c>
      <c r="N7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7" spans="1:14">
      <c r="A77">
        <v>76</v>
      </c>
      <c r="B77" s="1" t="d">
        <v>2023-03-25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t="str">
        <f>TEXT(SalesData[[#This Row],[Date]],"yyyy-mm")</f>
        <v>2023-03</v>
      </c>
      <c r="K77">
        <f>YEAR(SalesData[[#This Row],[Date]])</f>
        <v>2023</v>
      </c>
      <c r="L77" t="str">
        <f>"Q"&amp;ROUNDUP(MONTH(SalesData[[#This Row],[Date]])/3,0)</f>
        <v>Q1</v>
      </c>
      <c r="M77" s="1" t="d">
        <f>DATE(YEAR(SalesData[[#This Row],[Date]]),MONTH(SalesData[[#This Row],[Date]]),1)</f>
        <v>2023-03-01</v>
      </c>
      <c r="N7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8" spans="1:14">
      <c r="A78">
        <v>77</v>
      </c>
      <c r="B78" s="1" t="d">
        <v>2023-07-09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t="str">
        <f>TEXT(SalesData[[#This Row],[Date]],"yyyy-mm")</f>
        <v>2023-07</v>
      </c>
      <c r="K78">
        <f>YEAR(SalesData[[#This Row],[Date]])</f>
        <v>2023</v>
      </c>
      <c r="L78" t="str">
        <f>"Q"&amp;ROUNDUP(MONTH(SalesData[[#This Row],[Date]])/3,0)</f>
        <v>Q3</v>
      </c>
      <c r="M78" s="1" t="d">
        <f>DATE(YEAR(SalesData[[#This Row],[Date]]),MONTH(SalesData[[#This Row],[Date]]),1)</f>
        <v>2023-07-01</v>
      </c>
      <c r="N7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9" spans="1:14">
      <c r="A79">
        <v>78</v>
      </c>
      <c r="B79" s="1" t="d">
        <v>2023-07-01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t="str">
        <f>TEXT(SalesData[[#This Row],[Date]],"yyyy-mm")</f>
        <v>2023-07</v>
      </c>
      <c r="K79">
        <f>YEAR(SalesData[[#This Row],[Date]])</f>
        <v>2023</v>
      </c>
      <c r="L79" t="str">
        <f>"Q"&amp;ROUNDUP(MONTH(SalesData[[#This Row],[Date]])/3,0)</f>
        <v>Q3</v>
      </c>
      <c r="M79" s="1" t="d">
        <f>DATE(YEAR(SalesData[[#This Row],[Date]]),MONTH(SalesData[[#This Row],[Date]]),1)</f>
        <v>2023-07-01</v>
      </c>
      <c r="N7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0" spans="1:14">
      <c r="A80">
        <v>79</v>
      </c>
      <c r="B80" s="1" t="d">
        <v>2023-04-18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t="str">
        <f>TEXT(SalesData[[#This Row],[Date]],"yyyy-mm")</f>
        <v>2023-04</v>
      </c>
      <c r="K80">
        <f>YEAR(SalesData[[#This Row],[Date]])</f>
        <v>2023</v>
      </c>
      <c r="L80" t="str">
        <f>"Q"&amp;ROUNDUP(MONTH(SalesData[[#This Row],[Date]])/3,0)</f>
        <v>Q2</v>
      </c>
      <c r="M80" s="1" t="d">
        <f>DATE(YEAR(SalesData[[#This Row],[Date]]),MONTH(SalesData[[#This Row],[Date]]),1)</f>
        <v>2023-04-01</v>
      </c>
      <c r="N8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1" spans="1:14">
      <c r="A81">
        <v>80</v>
      </c>
      <c r="B81" s="1" t="d">
        <v>2023-12-10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t="str">
        <f>TEXT(SalesData[[#This Row],[Date]],"yyyy-mm")</f>
        <v>2023-12</v>
      </c>
      <c r="K81">
        <f>YEAR(SalesData[[#This Row],[Date]])</f>
        <v>2023</v>
      </c>
      <c r="L81" t="str">
        <f>"Q"&amp;ROUNDUP(MONTH(SalesData[[#This Row],[Date]])/3,0)</f>
        <v>Q4</v>
      </c>
      <c r="M81" s="1" t="d">
        <f>DATE(YEAR(SalesData[[#This Row],[Date]]),MONTH(SalesData[[#This Row],[Date]]),1)</f>
        <v>2023-12-01</v>
      </c>
      <c r="N8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2" spans="1:14">
      <c r="A82">
        <v>81</v>
      </c>
      <c r="B82" s="1" t="d">
        <v>2023-05-17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t="str">
        <f>TEXT(SalesData[[#This Row],[Date]],"yyyy-mm")</f>
        <v>2023-05</v>
      </c>
      <c r="K82">
        <f>YEAR(SalesData[[#This Row],[Date]])</f>
        <v>2023</v>
      </c>
      <c r="L82" t="str">
        <f>"Q"&amp;ROUNDUP(MONTH(SalesData[[#This Row],[Date]])/3,0)</f>
        <v>Q2</v>
      </c>
      <c r="M82" s="1" t="d">
        <f>DATE(YEAR(SalesData[[#This Row],[Date]]),MONTH(SalesData[[#This Row],[Date]]),1)</f>
        <v>2023-05-01</v>
      </c>
      <c r="N8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3" spans="1:14">
      <c r="A83">
        <v>82</v>
      </c>
      <c r="B83" s="1" t="d">
        <v>2023-12-26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t="str">
        <f>TEXT(SalesData[[#This Row],[Date]],"yyyy-mm")</f>
        <v>2023-12</v>
      </c>
      <c r="K83">
        <f>YEAR(SalesData[[#This Row],[Date]])</f>
        <v>2023</v>
      </c>
      <c r="L83" t="str">
        <f>"Q"&amp;ROUNDUP(MONTH(SalesData[[#This Row],[Date]])/3,0)</f>
        <v>Q4</v>
      </c>
      <c r="M83" s="1" t="d">
        <f>DATE(YEAR(SalesData[[#This Row],[Date]]),MONTH(SalesData[[#This Row],[Date]]),1)</f>
        <v>2023-12-01</v>
      </c>
      <c r="N8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4" spans="1:14">
      <c r="A84">
        <v>83</v>
      </c>
      <c r="B84" s="1" t="d">
        <v>2023-12-16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t="str">
        <f>TEXT(SalesData[[#This Row],[Date]],"yyyy-mm")</f>
        <v>2023-12</v>
      </c>
      <c r="K84">
        <f>YEAR(SalesData[[#This Row],[Date]])</f>
        <v>2023</v>
      </c>
      <c r="L84" t="str">
        <f>"Q"&amp;ROUNDUP(MONTH(SalesData[[#This Row],[Date]])/3,0)</f>
        <v>Q4</v>
      </c>
      <c r="M84" s="1" t="d">
        <f>DATE(YEAR(SalesData[[#This Row],[Date]]),MONTH(SalesData[[#This Row],[Date]]),1)</f>
        <v>2023-12-01</v>
      </c>
      <c r="N8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5" spans="1:14">
      <c r="A85">
        <v>84</v>
      </c>
      <c r="B85" s="1" t="d">
        <v>2023-11-28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t="str">
        <f>TEXT(SalesData[[#This Row],[Date]],"yyyy-mm")</f>
        <v>2023-11</v>
      </c>
      <c r="K85">
        <f>YEAR(SalesData[[#This Row],[Date]])</f>
        <v>2023</v>
      </c>
      <c r="L85" t="str">
        <f>"Q"&amp;ROUNDUP(MONTH(SalesData[[#This Row],[Date]])/3,0)</f>
        <v>Q4</v>
      </c>
      <c r="M85" s="1" t="d">
        <f>DATE(YEAR(SalesData[[#This Row],[Date]]),MONTH(SalesData[[#This Row],[Date]]),1)</f>
        <v>2023-11-01</v>
      </c>
      <c r="N8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6" spans="1:14">
      <c r="A86">
        <v>85</v>
      </c>
      <c r="B86" s="1" t="d">
        <v>2023-02-06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t="str">
        <f>TEXT(SalesData[[#This Row],[Date]],"yyyy-mm")</f>
        <v>2023-02</v>
      </c>
      <c r="K86">
        <f>YEAR(SalesData[[#This Row],[Date]])</f>
        <v>2023</v>
      </c>
      <c r="L86" t="str">
        <f>"Q"&amp;ROUNDUP(MONTH(SalesData[[#This Row],[Date]])/3,0)</f>
        <v>Q1</v>
      </c>
      <c r="M86" s="1" t="d">
        <f>DATE(YEAR(SalesData[[#This Row],[Date]]),MONTH(SalesData[[#This Row],[Date]]),1)</f>
        <v>2023-02-01</v>
      </c>
      <c r="N8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7" spans="1:14">
      <c r="A87">
        <v>86</v>
      </c>
      <c r="B87" s="1" t="d">
        <v>2023-11-08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t="str">
        <f>TEXT(SalesData[[#This Row],[Date]],"yyyy-mm")</f>
        <v>2023-11</v>
      </c>
      <c r="K87">
        <f>YEAR(SalesData[[#This Row],[Date]])</f>
        <v>2023</v>
      </c>
      <c r="L87" t="str">
        <f>"Q"&amp;ROUNDUP(MONTH(SalesData[[#This Row],[Date]])/3,0)</f>
        <v>Q4</v>
      </c>
      <c r="M87" s="1" t="d">
        <f>DATE(YEAR(SalesData[[#This Row],[Date]]),MONTH(SalesData[[#This Row],[Date]]),1)</f>
        <v>2023-11-01</v>
      </c>
      <c r="N87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88" spans="1:14">
      <c r="A88">
        <v>87</v>
      </c>
      <c r="B88" s="1" t="d">
        <v>2023-11-22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t="str">
        <f>TEXT(SalesData[[#This Row],[Date]],"yyyy-mm")</f>
        <v>2023-11</v>
      </c>
      <c r="K88">
        <f>YEAR(SalesData[[#This Row],[Date]])</f>
        <v>2023</v>
      </c>
      <c r="L88" t="str">
        <f>"Q"&amp;ROUNDUP(MONTH(SalesData[[#This Row],[Date]])/3,0)</f>
        <v>Q4</v>
      </c>
      <c r="M88" s="1" t="d">
        <f>DATE(YEAR(SalesData[[#This Row],[Date]]),MONTH(SalesData[[#This Row],[Date]]),1)</f>
        <v>2023-11-01</v>
      </c>
      <c r="N8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9" spans="1:14">
      <c r="A89">
        <v>88</v>
      </c>
      <c r="B89" s="1" t="d">
        <v>2023-03-29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t="str">
        <f>TEXT(SalesData[[#This Row],[Date]],"yyyy-mm")</f>
        <v>2023-03</v>
      </c>
      <c r="K89">
        <f>YEAR(SalesData[[#This Row],[Date]])</f>
        <v>2023</v>
      </c>
      <c r="L89" t="str">
        <f>"Q"&amp;ROUNDUP(MONTH(SalesData[[#This Row],[Date]])/3,0)</f>
        <v>Q1</v>
      </c>
      <c r="M89" s="1" t="d">
        <f>DATE(YEAR(SalesData[[#This Row],[Date]]),MONTH(SalesData[[#This Row],[Date]]),1)</f>
        <v>2023-03-01</v>
      </c>
      <c r="N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0" spans="1:14">
      <c r="A90">
        <v>89</v>
      </c>
      <c r="B90" s="1" t="d">
        <v>2023-10-01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t="str">
        <f>TEXT(SalesData[[#This Row],[Date]],"yyyy-mm")</f>
        <v>2023-10</v>
      </c>
      <c r="K90">
        <f>YEAR(SalesData[[#This Row],[Date]])</f>
        <v>2023</v>
      </c>
      <c r="L90" t="str">
        <f>"Q"&amp;ROUNDUP(MONTH(SalesData[[#This Row],[Date]])/3,0)</f>
        <v>Q4</v>
      </c>
      <c r="M90" s="1" t="d">
        <f>DATE(YEAR(SalesData[[#This Row],[Date]]),MONTH(SalesData[[#This Row],[Date]]),1)</f>
        <v>2023-10-01</v>
      </c>
      <c r="N9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1" spans="1:14">
      <c r="A91">
        <v>90</v>
      </c>
      <c r="B91" s="1" t="d">
        <v>2023-05-06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t="str">
        <f>TEXT(SalesData[[#This Row],[Date]],"yyyy-mm")</f>
        <v>2023-05</v>
      </c>
      <c r="K91">
        <f>YEAR(SalesData[[#This Row],[Date]])</f>
        <v>2023</v>
      </c>
      <c r="L91" t="str">
        <f>"Q"&amp;ROUNDUP(MONTH(SalesData[[#This Row],[Date]])/3,0)</f>
        <v>Q2</v>
      </c>
      <c r="M91" s="1" t="d">
        <f>DATE(YEAR(SalesData[[#This Row],[Date]]),MONTH(SalesData[[#This Row],[Date]]),1)</f>
        <v>2023-05-01</v>
      </c>
      <c r="N9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2" spans="1:14">
      <c r="A92">
        <v>91</v>
      </c>
      <c r="B92" s="1" t="d">
        <v>2023-03-25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t="str">
        <f>TEXT(SalesData[[#This Row],[Date]],"yyyy-mm")</f>
        <v>2023-03</v>
      </c>
      <c r="K92">
        <f>YEAR(SalesData[[#This Row],[Date]])</f>
        <v>2023</v>
      </c>
      <c r="L92" t="str">
        <f>"Q"&amp;ROUNDUP(MONTH(SalesData[[#This Row],[Date]])/3,0)</f>
        <v>Q1</v>
      </c>
      <c r="M92" s="1" t="d">
        <f>DATE(YEAR(SalesData[[#This Row],[Date]]),MONTH(SalesData[[#This Row],[Date]]),1)</f>
        <v>2023-03-01</v>
      </c>
      <c r="N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3" spans="1:14">
      <c r="A93">
        <v>92</v>
      </c>
      <c r="B93" s="1" t="d">
        <v>2023-08-25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t="str">
        <f>TEXT(SalesData[[#This Row],[Date]],"yyyy-mm")</f>
        <v>2023-08</v>
      </c>
      <c r="K93">
        <f>YEAR(SalesData[[#This Row],[Date]])</f>
        <v>2023</v>
      </c>
      <c r="L93" t="str">
        <f>"Q"&amp;ROUNDUP(MONTH(SalesData[[#This Row],[Date]])/3,0)</f>
        <v>Q3</v>
      </c>
      <c r="M93" s="1" t="d">
        <f>DATE(YEAR(SalesData[[#This Row],[Date]]),MONTH(SalesData[[#This Row],[Date]]),1)</f>
        <v>2023-08-01</v>
      </c>
      <c r="N9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" spans="1:14">
      <c r="A94">
        <v>93</v>
      </c>
      <c r="B94" s="1" t="d">
        <v>2023-07-14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t="str">
        <f>TEXT(SalesData[[#This Row],[Date]],"yyyy-mm")</f>
        <v>2023-07</v>
      </c>
      <c r="K94">
        <f>YEAR(SalesData[[#This Row],[Date]])</f>
        <v>2023</v>
      </c>
      <c r="L94" t="str">
        <f>"Q"&amp;ROUNDUP(MONTH(SalesData[[#This Row],[Date]])/3,0)</f>
        <v>Q3</v>
      </c>
      <c r="M94" s="1" t="d">
        <f>DATE(YEAR(SalesData[[#This Row],[Date]]),MONTH(SalesData[[#This Row],[Date]]),1)</f>
        <v>2023-07-01</v>
      </c>
      <c r="N9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5" spans="1:14">
      <c r="A95">
        <v>94</v>
      </c>
      <c r="B95" s="1" t="d">
        <v>2023-05-19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t="str">
        <f>TEXT(SalesData[[#This Row],[Date]],"yyyy-mm")</f>
        <v>2023-05</v>
      </c>
      <c r="K95">
        <f>YEAR(SalesData[[#This Row],[Date]])</f>
        <v>2023</v>
      </c>
      <c r="L95" t="str">
        <f>"Q"&amp;ROUNDUP(MONTH(SalesData[[#This Row],[Date]])/3,0)</f>
        <v>Q2</v>
      </c>
      <c r="M95" s="1" t="d">
        <f>DATE(YEAR(SalesData[[#This Row],[Date]]),MONTH(SalesData[[#This Row],[Date]]),1)</f>
        <v>2023-05-01</v>
      </c>
      <c r="N9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6" spans="1:14">
      <c r="A96">
        <v>95</v>
      </c>
      <c r="B96" s="1" t="d">
        <v>2023-11-24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t="str">
        <f>TEXT(SalesData[[#This Row],[Date]],"yyyy-mm")</f>
        <v>2023-11</v>
      </c>
      <c r="K96">
        <f>YEAR(SalesData[[#This Row],[Date]])</f>
        <v>2023</v>
      </c>
      <c r="L96" t="str">
        <f>"Q"&amp;ROUNDUP(MONTH(SalesData[[#This Row],[Date]])/3,0)</f>
        <v>Q4</v>
      </c>
      <c r="M96" s="1" t="d">
        <f>DATE(YEAR(SalesData[[#This Row],[Date]]),MONTH(SalesData[[#This Row],[Date]]),1)</f>
        <v>2023-11-01</v>
      </c>
      <c r="N9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7" spans="1:14">
      <c r="A97">
        <v>96</v>
      </c>
      <c r="B97" s="1" t="d">
        <v>2023-12-19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t="str">
        <f>TEXT(SalesData[[#This Row],[Date]],"yyyy-mm")</f>
        <v>2023-12</v>
      </c>
      <c r="K97">
        <f>YEAR(SalesData[[#This Row],[Date]])</f>
        <v>2023</v>
      </c>
      <c r="L97" t="str">
        <f>"Q"&amp;ROUNDUP(MONTH(SalesData[[#This Row],[Date]])/3,0)</f>
        <v>Q4</v>
      </c>
      <c r="M97" s="1" t="d">
        <f>DATE(YEAR(SalesData[[#This Row],[Date]]),MONTH(SalesData[[#This Row],[Date]]),1)</f>
        <v>2023-12-01</v>
      </c>
      <c r="N9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8" spans="1:14">
      <c r="A98">
        <v>97</v>
      </c>
      <c r="B98" s="1" t="d">
        <v>2023-10-13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t="str">
        <f>TEXT(SalesData[[#This Row],[Date]],"yyyy-mm")</f>
        <v>2023-10</v>
      </c>
      <c r="K98">
        <f>YEAR(SalesData[[#This Row],[Date]])</f>
        <v>2023</v>
      </c>
      <c r="L98" t="str">
        <f>"Q"&amp;ROUNDUP(MONTH(SalesData[[#This Row],[Date]])/3,0)</f>
        <v>Q4</v>
      </c>
      <c r="M98" s="1" t="d">
        <f>DATE(YEAR(SalesData[[#This Row],[Date]]),MONTH(SalesData[[#This Row],[Date]]),1)</f>
        <v>2023-10-01</v>
      </c>
      <c r="N9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" spans="1:14">
      <c r="A99">
        <v>98</v>
      </c>
      <c r="B99" s="1" t="d">
        <v>2023-04-23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t="str">
        <f>TEXT(SalesData[[#This Row],[Date]],"yyyy-mm")</f>
        <v>2023-04</v>
      </c>
      <c r="K99">
        <f>YEAR(SalesData[[#This Row],[Date]])</f>
        <v>2023</v>
      </c>
      <c r="L99" t="str">
        <f>"Q"&amp;ROUNDUP(MONTH(SalesData[[#This Row],[Date]])/3,0)</f>
        <v>Q2</v>
      </c>
      <c r="M99" s="1" t="d">
        <f>DATE(YEAR(SalesData[[#This Row],[Date]]),MONTH(SalesData[[#This Row],[Date]]),1)</f>
        <v>2023-04-01</v>
      </c>
      <c r="N9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00" spans="1:14">
      <c r="A100">
        <v>99</v>
      </c>
      <c r="B100" s="1" t="d">
        <v>2023-12-17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t="str">
        <f>TEXT(SalesData[[#This Row],[Date]],"yyyy-mm")</f>
        <v>2023-12</v>
      </c>
      <c r="K100">
        <f>YEAR(SalesData[[#This Row],[Date]])</f>
        <v>2023</v>
      </c>
      <c r="L100" t="str">
        <f>"Q"&amp;ROUNDUP(MONTH(SalesData[[#This Row],[Date]])/3,0)</f>
        <v>Q4</v>
      </c>
      <c r="M100" s="1" t="d">
        <f>DATE(YEAR(SalesData[[#This Row],[Date]]),MONTH(SalesData[[#This Row],[Date]]),1)</f>
        <v>2023-12-01</v>
      </c>
      <c r="N10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01" spans="1:14">
      <c r="A101">
        <v>100</v>
      </c>
      <c r="B101" s="1" t="d">
        <v>2023-06-16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t="str">
        <f>TEXT(SalesData[[#This Row],[Date]],"yyyy-mm")</f>
        <v>2023-06</v>
      </c>
      <c r="K101">
        <f>YEAR(SalesData[[#This Row],[Date]])</f>
        <v>2023</v>
      </c>
      <c r="L101" t="str">
        <f>"Q"&amp;ROUNDUP(MONTH(SalesData[[#This Row],[Date]])/3,0)</f>
        <v>Q2</v>
      </c>
      <c r="M101" s="1" t="d">
        <f>DATE(YEAR(SalesData[[#This Row],[Date]]),MONTH(SalesData[[#This Row],[Date]]),1)</f>
        <v>2023-06-01</v>
      </c>
      <c r="N10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02" spans="1:14">
      <c r="A102">
        <v>101</v>
      </c>
      <c r="B102" s="1" t="d">
        <v>2023-01-29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t="str">
        <f>TEXT(SalesData[[#This Row],[Date]],"yyyy-mm")</f>
        <v>2023-01</v>
      </c>
      <c r="K102">
        <f>YEAR(SalesData[[#This Row],[Date]])</f>
        <v>2023</v>
      </c>
      <c r="L102" t="str">
        <f>"Q"&amp;ROUNDUP(MONTH(SalesData[[#This Row],[Date]])/3,0)</f>
        <v>Q1</v>
      </c>
      <c r="M102" s="1" t="d">
        <f>DATE(YEAR(SalesData[[#This Row],[Date]]),MONTH(SalesData[[#This Row],[Date]]),1)</f>
        <v>2023-01-01</v>
      </c>
      <c r="N10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03" spans="1:14">
      <c r="A103">
        <v>102</v>
      </c>
      <c r="B103" s="1" t="d">
        <v>2023-04-28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t="str">
        <f>TEXT(SalesData[[#This Row],[Date]],"yyyy-mm")</f>
        <v>2023-04</v>
      </c>
      <c r="K103">
        <f>YEAR(SalesData[[#This Row],[Date]])</f>
        <v>2023</v>
      </c>
      <c r="L103" t="str">
        <f>"Q"&amp;ROUNDUP(MONTH(SalesData[[#This Row],[Date]])/3,0)</f>
        <v>Q2</v>
      </c>
      <c r="M103" s="1" t="d">
        <f>DATE(YEAR(SalesData[[#This Row],[Date]]),MONTH(SalesData[[#This Row],[Date]]),1)</f>
        <v>2023-04-01</v>
      </c>
      <c r="N10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04" spans="1:14">
      <c r="A104">
        <v>103</v>
      </c>
      <c r="B104" s="1" t="d">
        <v>2023-01-17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t="str">
        <f>TEXT(SalesData[[#This Row],[Date]],"yyyy-mm")</f>
        <v>2023-01</v>
      </c>
      <c r="K104">
        <f>YEAR(SalesData[[#This Row],[Date]])</f>
        <v>2023</v>
      </c>
      <c r="L104" t="str">
        <f>"Q"&amp;ROUNDUP(MONTH(SalesData[[#This Row],[Date]])/3,0)</f>
        <v>Q1</v>
      </c>
      <c r="M104" s="1" t="d">
        <f>DATE(YEAR(SalesData[[#This Row],[Date]]),MONTH(SalesData[[#This Row],[Date]]),1)</f>
        <v>2023-01-01</v>
      </c>
      <c r="N10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05" spans="1:14">
      <c r="A105">
        <v>104</v>
      </c>
      <c r="B105" s="1" t="d">
        <v>2023-06-11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t="str">
        <f>TEXT(SalesData[[#This Row],[Date]],"yyyy-mm")</f>
        <v>2023-06</v>
      </c>
      <c r="K105">
        <f>YEAR(SalesData[[#This Row],[Date]])</f>
        <v>2023</v>
      </c>
      <c r="L105" t="str">
        <f>"Q"&amp;ROUNDUP(MONTH(SalesData[[#This Row],[Date]])/3,0)</f>
        <v>Q2</v>
      </c>
      <c r="M105" s="1" t="d">
        <f>DATE(YEAR(SalesData[[#This Row],[Date]]),MONTH(SalesData[[#This Row],[Date]]),1)</f>
        <v>2023-06-01</v>
      </c>
      <c r="N10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06" spans="1:14">
      <c r="A106">
        <v>105</v>
      </c>
      <c r="B106" s="1" t="d">
        <v>2023-07-25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t="str">
        <f>TEXT(SalesData[[#This Row],[Date]],"yyyy-mm")</f>
        <v>2023-07</v>
      </c>
      <c r="K106">
        <f>YEAR(SalesData[[#This Row],[Date]])</f>
        <v>2023</v>
      </c>
      <c r="L106" t="str">
        <f>"Q"&amp;ROUNDUP(MONTH(SalesData[[#This Row],[Date]])/3,0)</f>
        <v>Q3</v>
      </c>
      <c r="M106" s="1" t="d">
        <f>DATE(YEAR(SalesData[[#This Row],[Date]]),MONTH(SalesData[[#This Row],[Date]]),1)</f>
        <v>2023-07-01</v>
      </c>
      <c r="N10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07" spans="1:14">
      <c r="A107">
        <v>106</v>
      </c>
      <c r="B107" s="1" t="d">
        <v>2023-05-18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t="str">
        <f>TEXT(SalesData[[#This Row],[Date]],"yyyy-mm")</f>
        <v>2023-05</v>
      </c>
      <c r="K107">
        <f>YEAR(SalesData[[#This Row],[Date]])</f>
        <v>2023</v>
      </c>
      <c r="L107" t="str">
        <f>"Q"&amp;ROUNDUP(MONTH(SalesData[[#This Row],[Date]])/3,0)</f>
        <v>Q2</v>
      </c>
      <c r="M107" s="1" t="d">
        <f>DATE(YEAR(SalesData[[#This Row],[Date]]),MONTH(SalesData[[#This Row],[Date]]),1)</f>
        <v>2023-05-01</v>
      </c>
      <c r="N10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08" spans="1:14">
      <c r="A108">
        <v>107</v>
      </c>
      <c r="B108" s="1" t="d">
        <v>2023-02-03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t="str">
        <f>TEXT(SalesData[[#This Row],[Date]],"yyyy-mm")</f>
        <v>2023-02</v>
      </c>
      <c r="K108">
        <f>YEAR(SalesData[[#This Row],[Date]])</f>
        <v>2023</v>
      </c>
      <c r="L108" t="str">
        <f>"Q"&amp;ROUNDUP(MONTH(SalesData[[#This Row],[Date]])/3,0)</f>
        <v>Q1</v>
      </c>
      <c r="M108" s="1" t="d">
        <f>DATE(YEAR(SalesData[[#This Row],[Date]]),MONTH(SalesData[[#This Row],[Date]]),1)</f>
        <v>2023-02-01</v>
      </c>
      <c r="N10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09" spans="1:14">
      <c r="A109">
        <v>108</v>
      </c>
      <c r="B109" s="1" t="d">
        <v>2023-04-19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t="str">
        <f>TEXT(SalesData[[#This Row],[Date]],"yyyy-mm")</f>
        <v>2023-04</v>
      </c>
      <c r="K109">
        <f>YEAR(SalesData[[#This Row],[Date]])</f>
        <v>2023</v>
      </c>
      <c r="L109" t="str">
        <f>"Q"&amp;ROUNDUP(MONTH(SalesData[[#This Row],[Date]])/3,0)</f>
        <v>Q2</v>
      </c>
      <c r="M109" s="1" t="d">
        <f>DATE(YEAR(SalesData[[#This Row],[Date]]),MONTH(SalesData[[#This Row],[Date]]),1)</f>
        <v>2023-04-01</v>
      </c>
      <c r="N10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10" spans="1:14">
      <c r="A110">
        <v>109</v>
      </c>
      <c r="B110" s="1" t="d">
        <v>2023-10-18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t="str">
        <f>TEXT(SalesData[[#This Row],[Date]],"yyyy-mm")</f>
        <v>2023-10</v>
      </c>
      <c r="K110">
        <f>YEAR(SalesData[[#This Row],[Date]])</f>
        <v>2023</v>
      </c>
      <c r="L110" t="str">
        <f>"Q"&amp;ROUNDUP(MONTH(SalesData[[#This Row],[Date]])/3,0)</f>
        <v>Q4</v>
      </c>
      <c r="M110" s="1" t="d">
        <f>DATE(YEAR(SalesData[[#This Row],[Date]]),MONTH(SalesData[[#This Row],[Date]]),1)</f>
        <v>2023-10-01</v>
      </c>
      <c r="N11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11" spans="1:14">
      <c r="A111">
        <v>110</v>
      </c>
      <c r="B111" s="1" t="d">
        <v>2023-06-11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t="str">
        <f>TEXT(SalesData[[#This Row],[Date]],"yyyy-mm")</f>
        <v>2023-06</v>
      </c>
      <c r="K111">
        <f>YEAR(SalesData[[#This Row],[Date]])</f>
        <v>2023</v>
      </c>
      <c r="L111" t="str">
        <f>"Q"&amp;ROUNDUP(MONTH(SalesData[[#This Row],[Date]])/3,0)</f>
        <v>Q2</v>
      </c>
      <c r="M111" s="1" t="d">
        <f>DATE(YEAR(SalesData[[#This Row],[Date]]),MONTH(SalesData[[#This Row],[Date]]),1)</f>
        <v>2023-06-01</v>
      </c>
      <c r="N1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12" spans="1:14">
      <c r="A112">
        <v>111</v>
      </c>
      <c r="B112" s="1" t="d">
        <v>2023-04-19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t="str">
        <f>TEXT(SalesData[[#This Row],[Date]],"yyyy-mm")</f>
        <v>2023-04</v>
      </c>
      <c r="K112">
        <f>YEAR(SalesData[[#This Row],[Date]])</f>
        <v>2023</v>
      </c>
      <c r="L112" t="str">
        <f>"Q"&amp;ROUNDUP(MONTH(SalesData[[#This Row],[Date]])/3,0)</f>
        <v>Q2</v>
      </c>
      <c r="M112" s="1" t="d">
        <f>DATE(YEAR(SalesData[[#This Row],[Date]]),MONTH(SalesData[[#This Row],[Date]]),1)</f>
        <v>2023-04-01</v>
      </c>
      <c r="N11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13" spans="1:14">
      <c r="A113">
        <v>112</v>
      </c>
      <c r="B113" s="1" t="d">
        <v>2023-12-02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t="str">
        <f>TEXT(SalesData[[#This Row],[Date]],"yyyy-mm")</f>
        <v>2023-12</v>
      </c>
      <c r="K113">
        <f>YEAR(SalesData[[#This Row],[Date]])</f>
        <v>2023</v>
      </c>
      <c r="L113" t="str">
        <f>"Q"&amp;ROUNDUP(MONTH(SalesData[[#This Row],[Date]])/3,0)</f>
        <v>Q4</v>
      </c>
      <c r="M113" s="1" t="d">
        <f>DATE(YEAR(SalesData[[#This Row],[Date]]),MONTH(SalesData[[#This Row],[Date]]),1)</f>
        <v>2023-12-01</v>
      </c>
      <c r="N11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14" spans="1:14">
      <c r="A114">
        <v>113</v>
      </c>
      <c r="B114" s="1" t="d">
        <v>2023-09-13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t="str">
        <f>TEXT(SalesData[[#This Row],[Date]],"yyyy-mm")</f>
        <v>2023-09</v>
      </c>
      <c r="K114">
        <f>YEAR(SalesData[[#This Row],[Date]])</f>
        <v>2023</v>
      </c>
      <c r="L114" t="str">
        <f>"Q"&amp;ROUNDUP(MONTH(SalesData[[#This Row],[Date]])/3,0)</f>
        <v>Q3</v>
      </c>
      <c r="M114" s="1" t="d">
        <f>DATE(YEAR(SalesData[[#This Row],[Date]]),MONTH(SalesData[[#This Row],[Date]]),1)</f>
        <v>2023-09-01</v>
      </c>
      <c r="N11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15" spans="1:14">
      <c r="A115">
        <v>114</v>
      </c>
      <c r="B115" s="1" t="d">
        <v>2023-07-22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t="str">
        <f>TEXT(SalesData[[#This Row],[Date]],"yyyy-mm")</f>
        <v>2023-07</v>
      </c>
      <c r="K115">
        <f>YEAR(SalesData[[#This Row],[Date]])</f>
        <v>2023</v>
      </c>
      <c r="L115" t="str">
        <f>"Q"&amp;ROUNDUP(MONTH(SalesData[[#This Row],[Date]])/3,0)</f>
        <v>Q3</v>
      </c>
      <c r="M115" s="1" t="d">
        <f>DATE(YEAR(SalesData[[#This Row],[Date]]),MONTH(SalesData[[#This Row],[Date]]),1)</f>
        <v>2023-07-01</v>
      </c>
      <c r="N11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16" spans="1:14">
      <c r="A116">
        <v>115</v>
      </c>
      <c r="B116" s="1" t="d">
        <v>2023-11-26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t="str">
        <f>TEXT(SalesData[[#This Row],[Date]],"yyyy-mm")</f>
        <v>2023-11</v>
      </c>
      <c r="K116">
        <f>YEAR(SalesData[[#This Row],[Date]])</f>
        <v>2023</v>
      </c>
      <c r="L116" t="str">
        <f>"Q"&amp;ROUNDUP(MONTH(SalesData[[#This Row],[Date]])/3,0)</f>
        <v>Q4</v>
      </c>
      <c r="M116" s="1" t="d">
        <f>DATE(YEAR(SalesData[[#This Row],[Date]]),MONTH(SalesData[[#This Row],[Date]]),1)</f>
        <v>2023-11-01</v>
      </c>
      <c r="N11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17" spans="1:14">
      <c r="A117">
        <v>116</v>
      </c>
      <c r="B117" s="1" t="d">
        <v>2023-08-23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t="str">
        <f>TEXT(SalesData[[#This Row],[Date]],"yyyy-mm")</f>
        <v>2023-08</v>
      </c>
      <c r="K117">
        <f>YEAR(SalesData[[#This Row],[Date]])</f>
        <v>2023</v>
      </c>
      <c r="L117" t="str">
        <f>"Q"&amp;ROUNDUP(MONTH(SalesData[[#This Row],[Date]])/3,0)</f>
        <v>Q3</v>
      </c>
      <c r="M117" s="1" t="d">
        <f>DATE(YEAR(SalesData[[#This Row],[Date]]),MONTH(SalesData[[#This Row],[Date]]),1)</f>
        <v>2023-08-01</v>
      </c>
      <c r="N11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18" spans="1:14">
      <c r="A118">
        <v>117</v>
      </c>
      <c r="B118" s="1" t="d">
        <v>2023-03-15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t="str">
        <f>TEXT(SalesData[[#This Row],[Date]],"yyyy-mm")</f>
        <v>2023-03</v>
      </c>
      <c r="K118">
        <f>YEAR(SalesData[[#This Row],[Date]])</f>
        <v>2023</v>
      </c>
      <c r="L118" t="str">
        <f>"Q"&amp;ROUNDUP(MONTH(SalesData[[#This Row],[Date]])/3,0)</f>
        <v>Q1</v>
      </c>
      <c r="M118" s="1" t="d">
        <f>DATE(YEAR(SalesData[[#This Row],[Date]]),MONTH(SalesData[[#This Row],[Date]]),1)</f>
        <v>2023-03-01</v>
      </c>
      <c r="N11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119" spans="1:14">
      <c r="A119">
        <v>118</v>
      </c>
      <c r="B119" s="1" t="d">
        <v>2023-05-16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t="str">
        <f>TEXT(SalesData[[#This Row],[Date]],"yyyy-mm")</f>
        <v>2023-05</v>
      </c>
      <c r="K119">
        <f>YEAR(SalesData[[#This Row],[Date]])</f>
        <v>2023</v>
      </c>
      <c r="L119" t="str">
        <f>"Q"&amp;ROUNDUP(MONTH(SalesData[[#This Row],[Date]])/3,0)</f>
        <v>Q2</v>
      </c>
      <c r="M119" s="1" t="d">
        <f>DATE(YEAR(SalesData[[#This Row],[Date]]),MONTH(SalesData[[#This Row],[Date]]),1)</f>
        <v>2023-05-01</v>
      </c>
      <c r="N11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20" spans="1:14">
      <c r="A120">
        <v>119</v>
      </c>
      <c r="B120" s="1" t="d">
        <v>2023-03-13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t="str">
        <f>TEXT(SalesData[[#This Row],[Date]],"yyyy-mm")</f>
        <v>2023-03</v>
      </c>
      <c r="K120">
        <f>YEAR(SalesData[[#This Row],[Date]])</f>
        <v>2023</v>
      </c>
      <c r="L120" t="str">
        <f>"Q"&amp;ROUNDUP(MONTH(SalesData[[#This Row],[Date]])/3,0)</f>
        <v>Q1</v>
      </c>
      <c r="M120" s="1" t="d">
        <f>DATE(YEAR(SalesData[[#This Row],[Date]]),MONTH(SalesData[[#This Row],[Date]]),1)</f>
        <v>2023-03-01</v>
      </c>
      <c r="N12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21" spans="1:14">
      <c r="A121">
        <v>120</v>
      </c>
      <c r="B121" s="1" t="d">
        <v>2023-05-07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t="str">
        <f>TEXT(SalesData[[#This Row],[Date]],"yyyy-mm")</f>
        <v>2023-05</v>
      </c>
      <c r="K121">
        <f>YEAR(SalesData[[#This Row],[Date]])</f>
        <v>2023</v>
      </c>
      <c r="L121" t="str">
        <f>"Q"&amp;ROUNDUP(MONTH(SalesData[[#This Row],[Date]])/3,0)</f>
        <v>Q2</v>
      </c>
      <c r="M121" s="1" t="d">
        <f>DATE(YEAR(SalesData[[#This Row],[Date]]),MONTH(SalesData[[#This Row],[Date]]),1)</f>
        <v>2023-05-01</v>
      </c>
      <c r="N12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22" spans="1:14">
      <c r="A122">
        <v>121</v>
      </c>
      <c r="B122" s="1" t="d">
        <v>2023-10-15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t="str">
        <f>TEXT(SalesData[[#This Row],[Date]],"yyyy-mm")</f>
        <v>2023-10</v>
      </c>
      <c r="K122">
        <f>YEAR(SalesData[[#This Row],[Date]])</f>
        <v>2023</v>
      </c>
      <c r="L122" t="str">
        <f>"Q"&amp;ROUNDUP(MONTH(SalesData[[#This Row],[Date]])/3,0)</f>
        <v>Q4</v>
      </c>
      <c r="M122" s="1" t="d">
        <f>DATE(YEAR(SalesData[[#This Row],[Date]]),MONTH(SalesData[[#This Row],[Date]]),1)</f>
        <v>2023-10-01</v>
      </c>
      <c r="N12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23" spans="1:14">
      <c r="A123">
        <v>122</v>
      </c>
      <c r="B123" s="1" t="d">
        <v>2023-10-03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t="str">
        <f>TEXT(SalesData[[#This Row],[Date]],"yyyy-mm")</f>
        <v>2023-10</v>
      </c>
      <c r="K123">
        <f>YEAR(SalesData[[#This Row],[Date]])</f>
        <v>2023</v>
      </c>
      <c r="L123" t="str">
        <f>"Q"&amp;ROUNDUP(MONTH(SalesData[[#This Row],[Date]])/3,0)</f>
        <v>Q4</v>
      </c>
      <c r="M123" s="1" t="d">
        <f>DATE(YEAR(SalesData[[#This Row],[Date]]),MONTH(SalesData[[#This Row],[Date]]),1)</f>
        <v>2023-10-01</v>
      </c>
      <c r="N12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24" spans="1:14">
      <c r="A124">
        <v>123</v>
      </c>
      <c r="B124" s="1" t="d">
        <v>2023-05-15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t="str">
        <f>TEXT(SalesData[[#This Row],[Date]],"yyyy-mm")</f>
        <v>2023-05</v>
      </c>
      <c r="K124">
        <f>YEAR(SalesData[[#This Row],[Date]])</f>
        <v>2023</v>
      </c>
      <c r="L124" t="str">
        <f>"Q"&amp;ROUNDUP(MONTH(SalesData[[#This Row],[Date]])/3,0)</f>
        <v>Q2</v>
      </c>
      <c r="M124" s="1" t="d">
        <f>DATE(YEAR(SalesData[[#This Row],[Date]]),MONTH(SalesData[[#This Row],[Date]]),1)</f>
        <v>2023-05-01</v>
      </c>
      <c r="N12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25" spans="1:14">
      <c r="A125">
        <v>124</v>
      </c>
      <c r="B125" s="1" t="d">
        <v>2023-10-27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t="str">
        <f>TEXT(SalesData[[#This Row],[Date]],"yyyy-mm")</f>
        <v>2023-10</v>
      </c>
      <c r="K125">
        <f>YEAR(SalesData[[#This Row],[Date]])</f>
        <v>2023</v>
      </c>
      <c r="L125" t="str">
        <f>"Q"&amp;ROUNDUP(MONTH(SalesData[[#This Row],[Date]])/3,0)</f>
        <v>Q4</v>
      </c>
      <c r="M125" s="1" t="d">
        <f>DATE(YEAR(SalesData[[#This Row],[Date]]),MONTH(SalesData[[#This Row],[Date]]),1)</f>
        <v>2023-10-01</v>
      </c>
      <c r="N12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26" spans="1:14">
      <c r="A126">
        <v>125</v>
      </c>
      <c r="B126" s="1" t="d">
        <v>2023-08-08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t="str">
        <f>TEXT(SalesData[[#This Row],[Date]],"yyyy-mm")</f>
        <v>2023-08</v>
      </c>
      <c r="K126">
        <f>YEAR(SalesData[[#This Row],[Date]])</f>
        <v>2023</v>
      </c>
      <c r="L126" t="str">
        <f>"Q"&amp;ROUNDUP(MONTH(SalesData[[#This Row],[Date]])/3,0)</f>
        <v>Q3</v>
      </c>
      <c r="M126" s="1" t="d">
        <f>DATE(YEAR(SalesData[[#This Row],[Date]]),MONTH(SalesData[[#This Row],[Date]]),1)</f>
        <v>2023-08-01</v>
      </c>
      <c r="N12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27" spans="1:14">
      <c r="A127">
        <v>126</v>
      </c>
      <c r="B127" s="1" t="d">
        <v>2023-10-26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t="str">
        <f>TEXT(SalesData[[#This Row],[Date]],"yyyy-mm")</f>
        <v>2023-10</v>
      </c>
      <c r="K127">
        <f>YEAR(SalesData[[#This Row],[Date]])</f>
        <v>2023</v>
      </c>
      <c r="L127" t="str">
        <f>"Q"&amp;ROUNDUP(MONTH(SalesData[[#This Row],[Date]])/3,0)</f>
        <v>Q4</v>
      </c>
      <c r="M127" s="1" t="d">
        <f>DATE(YEAR(SalesData[[#This Row],[Date]]),MONTH(SalesData[[#This Row],[Date]]),1)</f>
        <v>2023-10-01</v>
      </c>
      <c r="N12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28" spans="1:14">
      <c r="A128">
        <v>127</v>
      </c>
      <c r="B128" s="1" t="d">
        <v>2023-07-24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t="str">
        <f>TEXT(SalesData[[#This Row],[Date]],"yyyy-mm")</f>
        <v>2023-07</v>
      </c>
      <c r="K128">
        <f>YEAR(SalesData[[#This Row],[Date]])</f>
        <v>2023</v>
      </c>
      <c r="L128" t="str">
        <f>"Q"&amp;ROUNDUP(MONTH(SalesData[[#This Row],[Date]])/3,0)</f>
        <v>Q3</v>
      </c>
      <c r="M128" s="1" t="d">
        <f>DATE(YEAR(SalesData[[#This Row],[Date]]),MONTH(SalesData[[#This Row],[Date]]),1)</f>
        <v>2023-07-01</v>
      </c>
      <c r="N12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29" spans="1:14">
      <c r="A129">
        <v>128</v>
      </c>
      <c r="B129" s="1" t="d">
        <v>2023-07-05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t="str">
        <f>TEXT(SalesData[[#This Row],[Date]],"yyyy-mm")</f>
        <v>2023-07</v>
      </c>
      <c r="K129">
        <f>YEAR(SalesData[[#This Row],[Date]])</f>
        <v>2023</v>
      </c>
      <c r="L129" t="str">
        <f>"Q"&amp;ROUNDUP(MONTH(SalesData[[#This Row],[Date]])/3,0)</f>
        <v>Q3</v>
      </c>
      <c r="M129" s="1" t="d">
        <f>DATE(YEAR(SalesData[[#This Row],[Date]]),MONTH(SalesData[[#This Row],[Date]]),1)</f>
        <v>2023-07-01</v>
      </c>
      <c r="N12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0" spans="1:14">
      <c r="A130">
        <v>129</v>
      </c>
      <c r="B130" s="1" t="d">
        <v>2023-04-23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t="str">
        <f>TEXT(SalesData[[#This Row],[Date]],"yyyy-mm")</f>
        <v>2023-04</v>
      </c>
      <c r="K130">
        <f>YEAR(SalesData[[#This Row],[Date]])</f>
        <v>2023</v>
      </c>
      <c r="L130" t="str">
        <f>"Q"&amp;ROUNDUP(MONTH(SalesData[[#This Row],[Date]])/3,0)</f>
        <v>Q2</v>
      </c>
      <c r="M130" s="1" t="d">
        <f>DATE(YEAR(SalesData[[#This Row],[Date]]),MONTH(SalesData[[#This Row],[Date]]),1)</f>
        <v>2023-04-01</v>
      </c>
      <c r="N13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1" spans="1:14">
      <c r="A131">
        <v>130</v>
      </c>
      <c r="B131" s="1" t="d">
        <v>2023-03-12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t="str">
        <f>TEXT(SalesData[[#This Row],[Date]],"yyyy-mm")</f>
        <v>2023-03</v>
      </c>
      <c r="K131">
        <f>YEAR(SalesData[[#This Row],[Date]])</f>
        <v>2023</v>
      </c>
      <c r="L131" t="str">
        <f>"Q"&amp;ROUNDUP(MONTH(SalesData[[#This Row],[Date]])/3,0)</f>
        <v>Q1</v>
      </c>
      <c r="M131" s="1" t="d">
        <f>DATE(YEAR(SalesData[[#This Row],[Date]]),MONTH(SalesData[[#This Row],[Date]]),1)</f>
        <v>2023-03-01</v>
      </c>
      <c r="N13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32" spans="1:14">
      <c r="A132">
        <v>131</v>
      </c>
      <c r="B132" s="1" t="d">
        <v>2023-09-18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t="str">
        <f>TEXT(SalesData[[#This Row],[Date]],"yyyy-mm")</f>
        <v>2023-09</v>
      </c>
      <c r="K132">
        <f>YEAR(SalesData[[#This Row],[Date]])</f>
        <v>2023</v>
      </c>
      <c r="L132" t="str">
        <f>"Q"&amp;ROUNDUP(MONTH(SalesData[[#This Row],[Date]])/3,0)</f>
        <v>Q3</v>
      </c>
      <c r="M132" s="1" t="d">
        <f>DATE(YEAR(SalesData[[#This Row],[Date]]),MONTH(SalesData[[#This Row],[Date]]),1)</f>
        <v>2023-09-01</v>
      </c>
      <c r="N13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3" spans="1:14">
      <c r="A133">
        <v>132</v>
      </c>
      <c r="B133" s="1" t="d">
        <v>2023-09-10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t="str">
        <f>TEXT(SalesData[[#This Row],[Date]],"yyyy-mm")</f>
        <v>2023-09</v>
      </c>
      <c r="K133">
        <f>YEAR(SalesData[[#This Row],[Date]])</f>
        <v>2023</v>
      </c>
      <c r="L133" t="str">
        <f>"Q"&amp;ROUNDUP(MONTH(SalesData[[#This Row],[Date]])/3,0)</f>
        <v>Q3</v>
      </c>
      <c r="M133" s="1" t="d">
        <f>DATE(YEAR(SalesData[[#This Row],[Date]]),MONTH(SalesData[[#This Row],[Date]]),1)</f>
        <v>2023-09-01</v>
      </c>
      <c r="N13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34" spans="1:14">
      <c r="A134">
        <v>133</v>
      </c>
      <c r="B134" s="1" t="d">
        <v>2023-02-16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t="str">
        <f>TEXT(SalesData[[#This Row],[Date]],"yyyy-mm")</f>
        <v>2023-02</v>
      </c>
      <c r="K134">
        <f>YEAR(SalesData[[#This Row],[Date]])</f>
        <v>2023</v>
      </c>
      <c r="L134" t="str">
        <f>"Q"&amp;ROUNDUP(MONTH(SalesData[[#This Row],[Date]])/3,0)</f>
        <v>Q1</v>
      </c>
      <c r="M134" s="1" t="d">
        <f>DATE(YEAR(SalesData[[#This Row],[Date]]),MONTH(SalesData[[#This Row],[Date]]),1)</f>
        <v>2023-02-01</v>
      </c>
      <c r="N13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5" spans="1:14">
      <c r="A135">
        <v>134</v>
      </c>
      <c r="B135" s="1" t="d">
        <v>2023-01-25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t="str">
        <f>TEXT(SalesData[[#This Row],[Date]],"yyyy-mm")</f>
        <v>2023-01</v>
      </c>
      <c r="K135">
        <f>YEAR(SalesData[[#This Row],[Date]])</f>
        <v>2023</v>
      </c>
      <c r="L135" t="str">
        <f>"Q"&amp;ROUNDUP(MONTH(SalesData[[#This Row],[Date]])/3,0)</f>
        <v>Q1</v>
      </c>
      <c r="M135" s="1" t="d">
        <f>DATE(YEAR(SalesData[[#This Row],[Date]]),MONTH(SalesData[[#This Row],[Date]]),1)</f>
        <v>2023-01-01</v>
      </c>
      <c r="N13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36" spans="1:14">
      <c r="A136">
        <v>135</v>
      </c>
      <c r="B136" s="1" t="d">
        <v>2023-02-26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t="str">
        <f>TEXT(SalesData[[#This Row],[Date]],"yyyy-mm")</f>
        <v>2023-02</v>
      </c>
      <c r="K136">
        <f>YEAR(SalesData[[#This Row],[Date]])</f>
        <v>2023</v>
      </c>
      <c r="L136" t="str">
        <f>"Q"&amp;ROUNDUP(MONTH(SalesData[[#This Row],[Date]])/3,0)</f>
        <v>Q1</v>
      </c>
      <c r="M136" s="1" t="d">
        <f>DATE(YEAR(SalesData[[#This Row],[Date]]),MONTH(SalesData[[#This Row],[Date]]),1)</f>
        <v>2023-02-01</v>
      </c>
      <c r="N13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37" spans="1:14">
      <c r="A137">
        <v>136</v>
      </c>
      <c r="B137" s="1" t="d">
        <v>2023-03-20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t="str">
        <f>TEXT(SalesData[[#This Row],[Date]],"yyyy-mm")</f>
        <v>2023-03</v>
      </c>
      <c r="K137">
        <f>YEAR(SalesData[[#This Row],[Date]])</f>
        <v>2023</v>
      </c>
      <c r="L137" t="str">
        <f>"Q"&amp;ROUNDUP(MONTH(SalesData[[#This Row],[Date]])/3,0)</f>
        <v>Q1</v>
      </c>
      <c r="M137" s="1" t="d">
        <f>DATE(YEAR(SalesData[[#This Row],[Date]]),MONTH(SalesData[[#This Row],[Date]]),1)</f>
        <v>2023-03-01</v>
      </c>
      <c r="N13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38" spans="1:14">
      <c r="A138">
        <v>137</v>
      </c>
      <c r="B138" s="1" t="d">
        <v>2023-11-18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t="str">
        <f>TEXT(SalesData[[#This Row],[Date]],"yyyy-mm")</f>
        <v>2023-11</v>
      </c>
      <c r="K138">
        <f>YEAR(SalesData[[#This Row],[Date]])</f>
        <v>2023</v>
      </c>
      <c r="L138" t="str">
        <f>"Q"&amp;ROUNDUP(MONTH(SalesData[[#This Row],[Date]])/3,0)</f>
        <v>Q4</v>
      </c>
      <c r="M138" s="1" t="d">
        <f>DATE(YEAR(SalesData[[#This Row],[Date]]),MONTH(SalesData[[#This Row],[Date]]),1)</f>
        <v>2023-11-01</v>
      </c>
      <c r="N13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39" spans="1:14">
      <c r="A139">
        <v>138</v>
      </c>
      <c r="B139" s="1" t="d">
        <v>2023-03-23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t="str">
        <f>TEXT(SalesData[[#This Row],[Date]],"yyyy-mm")</f>
        <v>2023-03</v>
      </c>
      <c r="K139">
        <f>YEAR(SalesData[[#This Row],[Date]])</f>
        <v>2023</v>
      </c>
      <c r="L139" t="str">
        <f>"Q"&amp;ROUNDUP(MONTH(SalesData[[#This Row],[Date]])/3,0)</f>
        <v>Q1</v>
      </c>
      <c r="M139" s="1" t="d">
        <f>DATE(YEAR(SalesData[[#This Row],[Date]]),MONTH(SalesData[[#This Row],[Date]]),1)</f>
        <v>2023-03-01</v>
      </c>
      <c r="N1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40" spans="1:14">
      <c r="A140">
        <v>139</v>
      </c>
      <c r="B140" s="1" t="d">
        <v>2023-12-15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t="str">
        <f>TEXT(SalesData[[#This Row],[Date]],"yyyy-mm")</f>
        <v>2023-12</v>
      </c>
      <c r="K140">
        <f>YEAR(SalesData[[#This Row],[Date]])</f>
        <v>2023</v>
      </c>
      <c r="L140" t="str">
        <f>"Q"&amp;ROUNDUP(MONTH(SalesData[[#This Row],[Date]])/3,0)</f>
        <v>Q4</v>
      </c>
      <c r="M140" s="1" t="d">
        <f>DATE(YEAR(SalesData[[#This Row],[Date]]),MONTH(SalesData[[#This Row],[Date]]),1)</f>
        <v>2023-12-01</v>
      </c>
      <c r="N14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1" spans="1:14">
      <c r="A141">
        <v>140</v>
      </c>
      <c r="B141" s="1" t="d">
        <v>2023-08-05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t="str">
        <f>TEXT(SalesData[[#This Row],[Date]],"yyyy-mm")</f>
        <v>2023-08</v>
      </c>
      <c r="K141">
        <f>YEAR(SalesData[[#This Row],[Date]])</f>
        <v>2023</v>
      </c>
      <c r="L141" t="str">
        <f>"Q"&amp;ROUNDUP(MONTH(SalesData[[#This Row],[Date]])/3,0)</f>
        <v>Q3</v>
      </c>
      <c r="M141" s="1" t="d">
        <f>DATE(YEAR(SalesData[[#This Row],[Date]]),MONTH(SalesData[[#This Row],[Date]]),1)</f>
        <v>2023-08-01</v>
      </c>
      <c r="N14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2" spans="1:14">
      <c r="A142">
        <v>141</v>
      </c>
      <c r="B142" s="1" t="d">
        <v>2023-11-02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t="str">
        <f>TEXT(SalesData[[#This Row],[Date]],"yyyy-mm")</f>
        <v>2023-11</v>
      </c>
      <c r="K142">
        <f>YEAR(SalesData[[#This Row],[Date]])</f>
        <v>2023</v>
      </c>
      <c r="L142" t="str">
        <f>"Q"&amp;ROUNDUP(MONTH(SalesData[[#This Row],[Date]])/3,0)</f>
        <v>Q4</v>
      </c>
      <c r="M142" s="1" t="d">
        <f>DATE(YEAR(SalesData[[#This Row],[Date]]),MONTH(SalesData[[#This Row],[Date]]),1)</f>
        <v>2023-11-01</v>
      </c>
      <c r="N14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43" spans="1:14">
      <c r="A143">
        <v>142</v>
      </c>
      <c r="B143" s="1" t="d">
        <v>2023-02-02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t="str">
        <f>TEXT(SalesData[[#This Row],[Date]],"yyyy-mm")</f>
        <v>2023-02</v>
      </c>
      <c r="K143">
        <f>YEAR(SalesData[[#This Row],[Date]])</f>
        <v>2023</v>
      </c>
      <c r="L143" t="str">
        <f>"Q"&amp;ROUNDUP(MONTH(SalesData[[#This Row],[Date]])/3,0)</f>
        <v>Q1</v>
      </c>
      <c r="M143" s="1" t="d">
        <f>DATE(YEAR(SalesData[[#This Row],[Date]]),MONTH(SalesData[[#This Row],[Date]]),1)</f>
        <v>2023-02-01</v>
      </c>
      <c r="N14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4" spans="1:14">
      <c r="A144">
        <v>143</v>
      </c>
      <c r="B144" s="1" t="d">
        <v>2023-07-17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t="str">
        <f>TEXT(SalesData[[#This Row],[Date]],"yyyy-mm")</f>
        <v>2023-07</v>
      </c>
      <c r="K144">
        <f>YEAR(SalesData[[#This Row],[Date]])</f>
        <v>2023</v>
      </c>
      <c r="L144" t="str">
        <f>"Q"&amp;ROUNDUP(MONTH(SalesData[[#This Row],[Date]])/3,0)</f>
        <v>Q3</v>
      </c>
      <c r="M144" s="1" t="d">
        <f>DATE(YEAR(SalesData[[#This Row],[Date]]),MONTH(SalesData[[#This Row],[Date]]),1)</f>
        <v>2023-07-01</v>
      </c>
      <c r="N14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45" spans="1:14">
      <c r="A145">
        <v>144</v>
      </c>
      <c r="B145" s="1" t="d">
        <v>2023-07-15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t="str">
        <f>TEXT(SalesData[[#This Row],[Date]],"yyyy-mm")</f>
        <v>2023-07</v>
      </c>
      <c r="K145">
        <f>YEAR(SalesData[[#This Row],[Date]])</f>
        <v>2023</v>
      </c>
      <c r="L145" t="str">
        <f>"Q"&amp;ROUNDUP(MONTH(SalesData[[#This Row],[Date]])/3,0)</f>
        <v>Q3</v>
      </c>
      <c r="M145" s="1" t="d">
        <f>DATE(YEAR(SalesData[[#This Row],[Date]]),MONTH(SalesData[[#This Row],[Date]]),1)</f>
        <v>2023-07-01</v>
      </c>
      <c r="N14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46" spans="1:14">
      <c r="A146">
        <v>145</v>
      </c>
      <c r="B146" s="1" t="d">
        <v>2023-11-02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t="str">
        <f>TEXT(SalesData[[#This Row],[Date]],"yyyy-mm")</f>
        <v>2023-11</v>
      </c>
      <c r="K146">
        <f>YEAR(SalesData[[#This Row],[Date]])</f>
        <v>2023</v>
      </c>
      <c r="L146" t="str">
        <f>"Q"&amp;ROUNDUP(MONTH(SalesData[[#This Row],[Date]])/3,0)</f>
        <v>Q4</v>
      </c>
      <c r="M146" s="1" t="d">
        <f>DATE(YEAR(SalesData[[#This Row],[Date]]),MONTH(SalesData[[#This Row],[Date]]),1)</f>
        <v>2023-11-01</v>
      </c>
      <c r="N14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7" spans="1:14">
      <c r="A147">
        <v>146</v>
      </c>
      <c r="B147" s="1" t="d">
        <v>2023-08-28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t="str">
        <f>TEXT(SalesData[[#This Row],[Date]],"yyyy-mm")</f>
        <v>2023-08</v>
      </c>
      <c r="K147">
        <f>YEAR(SalesData[[#This Row],[Date]])</f>
        <v>2023</v>
      </c>
      <c r="L147" t="str">
        <f>"Q"&amp;ROUNDUP(MONTH(SalesData[[#This Row],[Date]])/3,0)</f>
        <v>Q3</v>
      </c>
      <c r="M147" s="1" t="d">
        <f>DATE(YEAR(SalesData[[#This Row],[Date]]),MONTH(SalesData[[#This Row],[Date]]),1)</f>
        <v>2023-08-01</v>
      </c>
      <c r="N14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48" spans="1:14">
      <c r="A148">
        <v>147</v>
      </c>
      <c r="B148" s="1" t="d">
        <v>2023-09-28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t="str">
        <f>TEXT(SalesData[[#This Row],[Date]],"yyyy-mm")</f>
        <v>2023-09</v>
      </c>
      <c r="K148">
        <f>YEAR(SalesData[[#This Row],[Date]])</f>
        <v>2023</v>
      </c>
      <c r="L148" t="str">
        <f>"Q"&amp;ROUNDUP(MONTH(SalesData[[#This Row],[Date]])/3,0)</f>
        <v>Q3</v>
      </c>
      <c r="M148" s="1" t="d">
        <f>DATE(YEAR(SalesData[[#This Row],[Date]]),MONTH(SalesData[[#This Row],[Date]]),1)</f>
        <v>2023-09-01</v>
      </c>
      <c r="N14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49" spans="1:14">
      <c r="A149">
        <v>148</v>
      </c>
      <c r="B149" s="1" t="d">
        <v>2023-05-09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t="str">
        <f>TEXT(SalesData[[#This Row],[Date]],"yyyy-mm")</f>
        <v>2023-05</v>
      </c>
      <c r="K149">
        <f>YEAR(SalesData[[#This Row],[Date]])</f>
        <v>2023</v>
      </c>
      <c r="L149" t="str">
        <f>"Q"&amp;ROUNDUP(MONTH(SalesData[[#This Row],[Date]])/3,0)</f>
        <v>Q2</v>
      </c>
      <c r="M149" s="1" t="d">
        <f>DATE(YEAR(SalesData[[#This Row],[Date]]),MONTH(SalesData[[#This Row],[Date]]),1)</f>
        <v>2023-05-01</v>
      </c>
      <c r="N149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150" spans="1:14">
      <c r="A150">
        <v>149</v>
      </c>
      <c r="B150" s="1" t="d">
        <v>2023-10-11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t="str">
        <f>TEXT(SalesData[[#This Row],[Date]],"yyyy-mm")</f>
        <v>2023-10</v>
      </c>
      <c r="K150">
        <f>YEAR(SalesData[[#This Row],[Date]])</f>
        <v>2023</v>
      </c>
      <c r="L150" t="str">
        <f>"Q"&amp;ROUNDUP(MONTH(SalesData[[#This Row],[Date]])/3,0)</f>
        <v>Q4</v>
      </c>
      <c r="M150" s="1" t="d">
        <f>DATE(YEAR(SalesData[[#This Row],[Date]]),MONTH(SalesData[[#This Row],[Date]]),1)</f>
        <v>2023-10-01</v>
      </c>
      <c r="N15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51" spans="1:14">
      <c r="A151">
        <v>150</v>
      </c>
      <c r="B151" s="1" t="d">
        <v>2023-01-06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t="str">
        <f>TEXT(SalesData[[#This Row],[Date]],"yyyy-mm")</f>
        <v>2023-01</v>
      </c>
      <c r="K151">
        <f>YEAR(SalesData[[#This Row],[Date]])</f>
        <v>2023</v>
      </c>
      <c r="L151" t="str">
        <f>"Q"&amp;ROUNDUP(MONTH(SalesData[[#This Row],[Date]])/3,0)</f>
        <v>Q1</v>
      </c>
      <c r="M151" s="1" t="d">
        <f>DATE(YEAR(SalesData[[#This Row],[Date]]),MONTH(SalesData[[#This Row],[Date]]),1)</f>
        <v>2023-01-01</v>
      </c>
      <c r="N15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52" spans="1:14">
      <c r="A152">
        <v>151</v>
      </c>
      <c r="B152" s="1" t="d">
        <v>2023-12-15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t="str">
        <f>TEXT(SalesData[[#This Row],[Date]],"yyyy-mm")</f>
        <v>2023-12</v>
      </c>
      <c r="K152">
        <f>YEAR(SalesData[[#This Row],[Date]])</f>
        <v>2023</v>
      </c>
      <c r="L152" t="str">
        <f>"Q"&amp;ROUNDUP(MONTH(SalesData[[#This Row],[Date]])/3,0)</f>
        <v>Q4</v>
      </c>
      <c r="M152" s="1" t="d">
        <f>DATE(YEAR(SalesData[[#This Row],[Date]]),MONTH(SalesData[[#This Row],[Date]]),1)</f>
        <v>2023-12-01</v>
      </c>
      <c r="N15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53" spans="1:14">
      <c r="A153">
        <v>152</v>
      </c>
      <c r="B153" s="1" t="d">
        <v>2023-02-28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t="str">
        <f>TEXT(SalesData[[#This Row],[Date]],"yyyy-mm")</f>
        <v>2023-02</v>
      </c>
      <c r="K153">
        <f>YEAR(SalesData[[#This Row],[Date]])</f>
        <v>2023</v>
      </c>
      <c r="L153" t="str">
        <f>"Q"&amp;ROUNDUP(MONTH(SalesData[[#This Row],[Date]])/3,0)</f>
        <v>Q1</v>
      </c>
      <c r="M153" s="1" t="d">
        <f>DATE(YEAR(SalesData[[#This Row],[Date]]),MONTH(SalesData[[#This Row],[Date]]),1)</f>
        <v>2023-02-01</v>
      </c>
      <c r="N15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54" spans="1:14">
      <c r="A154">
        <v>153</v>
      </c>
      <c r="B154" s="1" t="d">
        <v>2023-12-16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t="str">
        <f>TEXT(SalesData[[#This Row],[Date]],"yyyy-mm")</f>
        <v>2023-12</v>
      </c>
      <c r="K154">
        <f>YEAR(SalesData[[#This Row],[Date]])</f>
        <v>2023</v>
      </c>
      <c r="L154" t="str">
        <f>"Q"&amp;ROUNDUP(MONTH(SalesData[[#This Row],[Date]])/3,0)</f>
        <v>Q4</v>
      </c>
      <c r="M154" s="1" t="d">
        <f>DATE(YEAR(SalesData[[#This Row],[Date]]),MONTH(SalesData[[#This Row],[Date]]),1)</f>
        <v>2023-12-01</v>
      </c>
      <c r="N15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55" spans="1:14">
      <c r="A155">
        <v>154</v>
      </c>
      <c r="B155" s="1" t="d">
        <v>2023-10-02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t="str">
        <f>TEXT(SalesData[[#This Row],[Date]],"yyyy-mm")</f>
        <v>2023-10</v>
      </c>
      <c r="K155">
        <f>YEAR(SalesData[[#This Row],[Date]])</f>
        <v>2023</v>
      </c>
      <c r="L155" t="str">
        <f>"Q"&amp;ROUNDUP(MONTH(SalesData[[#This Row],[Date]])/3,0)</f>
        <v>Q4</v>
      </c>
      <c r="M155" s="1" t="d">
        <f>DATE(YEAR(SalesData[[#This Row],[Date]]),MONTH(SalesData[[#This Row],[Date]]),1)</f>
        <v>2023-10-01</v>
      </c>
      <c r="N15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56" spans="1:14">
      <c r="A156">
        <v>155</v>
      </c>
      <c r="B156" s="1" t="d">
        <v>2023-05-17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t="str">
        <f>TEXT(SalesData[[#This Row],[Date]],"yyyy-mm")</f>
        <v>2023-05</v>
      </c>
      <c r="K156">
        <f>YEAR(SalesData[[#This Row],[Date]])</f>
        <v>2023</v>
      </c>
      <c r="L156" t="str">
        <f>"Q"&amp;ROUNDUP(MONTH(SalesData[[#This Row],[Date]])/3,0)</f>
        <v>Q2</v>
      </c>
      <c r="M156" s="1" t="d">
        <f>DATE(YEAR(SalesData[[#This Row],[Date]]),MONTH(SalesData[[#This Row],[Date]]),1)</f>
        <v>2023-05-01</v>
      </c>
      <c r="N15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57" spans="1:14">
      <c r="A157">
        <v>156</v>
      </c>
      <c r="B157" s="1" t="d">
        <v>2023-11-25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t="str">
        <f>TEXT(SalesData[[#This Row],[Date]],"yyyy-mm")</f>
        <v>2023-11</v>
      </c>
      <c r="K157">
        <f>YEAR(SalesData[[#This Row],[Date]])</f>
        <v>2023</v>
      </c>
      <c r="L157" t="str">
        <f>"Q"&amp;ROUNDUP(MONTH(SalesData[[#This Row],[Date]])/3,0)</f>
        <v>Q4</v>
      </c>
      <c r="M157" s="1" t="d">
        <f>DATE(YEAR(SalesData[[#This Row],[Date]]),MONTH(SalesData[[#This Row],[Date]]),1)</f>
        <v>2023-11-01</v>
      </c>
      <c r="N15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58" spans="1:14">
      <c r="A158">
        <v>157</v>
      </c>
      <c r="B158" s="1" t="d">
        <v>2023-06-24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t="str">
        <f>TEXT(SalesData[[#This Row],[Date]],"yyyy-mm")</f>
        <v>2023-06</v>
      </c>
      <c r="K158">
        <f>YEAR(SalesData[[#This Row],[Date]])</f>
        <v>2023</v>
      </c>
      <c r="L158" t="str">
        <f>"Q"&amp;ROUNDUP(MONTH(SalesData[[#This Row],[Date]])/3,0)</f>
        <v>Q2</v>
      </c>
      <c r="M158" s="1" t="d">
        <f>DATE(YEAR(SalesData[[#This Row],[Date]]),MONTH(SalesData[[#This Row],[Date]]),1)</f>
        <v>2023-06-01</v>
      </c>
      <c r="N15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59" spans="1:14">
      <c r="A159">
        <v>158</v>
      </c>
      <c r="B159" s="1" t="d">
        <v>2023-02-27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t="str">
        <f>TEXT(SalesData[[#This Row],[Date]],"yyyy-mm")</f>
        <v>2023-02</v>
      </c>
      <c r="K159">
        <f>YEAR(SalesData[[#This Row],[Date]])</f>
        <v>2023</v>
      </c>
      <c r="L159" t="str">
        <f>"Q"&amp;ROUNDUP(MONTH(SalesData[[#This Row],[Date]])/3,0)</f>
        <v>Q1</v>
      </c>
      <c r="M159" s="1" t="d">
        <f>DATE(YEAR(SalesData[[#This Row],[Date]]),MONTH(SalesData[[#This Row],[Date]]),1)</f>
        <v>2023-02-01</v>
      </c>
      <c r="N15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60" spans="1:14">
      <c r="A160">
        <v>159</v>
      </c>
      <c r="B160" s="1" t="d">
        <v>2023-05-31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t="str">
        <f>TEXT(SalesData[[#This Row],[Date]],"yyyy-mm")</f>
        <v>2023-05</v>
      </c>
      <c r="K160">
        <f>YEAR(SalesData[[#This Row],[Date]])</f>
        <v>2023</v>
      </c>
      <c r="L160" t="str">
        <f>"Q"&amp;ROUNDUP(MONTH(SalesData[[#This Row],[Date]])/3,0)</f>
        <v>Q2</v>
      </c>
      <c r="M160" s="1" t="d">
        <f>DATE(YEAR(SalesData[[#This Row],[Date]]),MONTH(SalesData[[#This Row],[Date]]),1)</f>
        <v>2023-05-01</v>
      </c>
      <c r="N16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61" spans="1:14">
      <c r="A161">
        <v>160</v>
      </c>
      <c r="B161" s="1" t="d">
        <v>2023-08-11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t="str">
        <f>TEXT(SalesData[[#This Row],[Date]],"yyyy-mm")</f>
        <v>2023-08</v>
      </c>
      <c r="K161">
        <f>YEAR(SalesData[[#This Row],[Date]])</f>
        <v>2023</v>
      </c>
      <c r="L161" t="str">
        <f>"Q"&amp;ROUNDUP(MONTH(SalesData[[#This Row],[Date]])/3,0)</f>
        <v>Q3</v>
      </c>
      <c r="M161" s="1" t="d">
        <f>DATE(YEAR(SalesData[[#This Row],[Date]]),MONTH(SalesData[[#This Row],[Date]]),1)</f>
        <v>2023-08-01</v>
      </c>
      <c r="N16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62" spans="1:14">
      <c r="A162">
        <v>161</v>
      </c>
      <c r="B162" s="1" t="d">
        <v>2023-03-22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t="str">
        <f>TEXT(SalesData[[#This Row],[Date]],"yyyy-mm")</f>
        <v>2023-03</v>
      </c>
      <c r="K162">
        <f>YEAR(SalesData[[#This Row],[Date]])</f>
        <v>2023</v>
      </c>
      <c r="L162" t="str">
        <f>"Q"&amp;ROUNDUP(MONTH(SalesData[[#This Row],[Date]])/3,0)</f>
        <v>Q1</v>
      </c>
      <c r="M162" s="1" t="d">
        <f>DATE(YEAR(SalesData[[#This Row],[Date]]),MONTH(SalesData[[#This Row],[Date]]),1)</f>
        <v>2023-03-01</v>
      </c>
      <c r="N16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63" spans="1:14">
      <c r="A163">
        <v>162</v>
      </c>
      <c r="B163" s="1" t="d">
        <v>2023-08-21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t="str">
        <f>TEXT(SalesData[[#This Row],[Date]],"yyyy-mm")</f>
        <v>2023-08</v>
      </c>
      <c r="K163">
        <f>YEAR(SalesData[[#This Row],[Date]])</f>
        <v>2023</v>
      </c>
      <c r="L163" t="str">
        <f>"Q"&amp;ROUNDUP(MONTH(SalesData[[#This Row],[Date]])/3,0)</f>
        <v>Q3</v>
      </c>
      <c r="M163" s="1" t="d">
        <f>DATE(YEAR(SalesData[[#This Row],[Date]]),MONTH(SalesData[[#This Row],[Date]]),1)</f>
        <v>2023-08-01</v>
      </c>
      <c r="N16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64" spans="1:14">
      <c r="A164">
        <v>163</v>
      </c>
      <c r="B164" s="1" t="d">
        <v>2023-01-02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t="str">
        <f>TEXT(SalesData[[#This Row],[Date]],"yyyy-mm")</f>
        <v>2023-01</v>
      </c>
      <c r="K164">
        <f>YEAR(SalesData[[#This Row],[Date]])</f>
        <v>2023</v>
      </c>
      <c r="L164" t="str">
        <f>"Q"&amp;ROUNDUP(MONTH(SalesData[[#This Row],[Date]])/3,0)</f>
        <v>Q1</v>
      </c>
      <c r="M164" s="1" t="d">
        <f>DATE(YEAR(SalesData[[#This Row],[Date]]),MONTH(SalesData[[#This Row],[Date]]),1)</f>
        <v>2023-01-01</v>
      </c>
      <c r="N16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65" spans="1:14">
      <c r="A165">
        <v>164</v>
      </c>
      <c r="B165" s="1" t="d">
        <v>2023-05-15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t="str">
        <f>TEXT(SalesData[[#This Row],[Date]],"yyyy-mm")</f>
        <v>2023-05</v>
      </c>
      <c r="K165">
        <f>YEAR(SalesData[[#This Row],[Date]])</f>
        <v>2023</v>
      </c>
      <c r="L165" t="str">
        <f>"Q"&amp;ROUNDUP(MONTH(SalesData[[#This Row],[Date]])/3,0)</f>
        <v>Q2</v>
      </c>
      <c r="M165" s="1" t="d">
        <f>DATE(YEAR(SalesData[[#This Row],[Date]]),MONTH(SalesData[[#This Row],[Date]]),1)</f>
        <v>2023-05-01</v>
      </c>
      <c r="N16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66" spans="1:14">
      <c r="A166">
        <v>165</v>
      </c>
      <c r="B166" s="1" t="d">
        <v>2023-09-14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t="str">
        <f>TEXT(SalesData[[#This Row],[Date]],"yyyy-mm")</f>
        <v>2023-09</v>
      </c>
      <c r="K166">
        <f>YEAR(SalesData[[#This Row],[Date]])</f>
        <v>2023</v>
      </c>
      <c r="L166" t="str">
        <f>"Q"&amp;ROUNDUP(MONTH(SalesData[[#This Row],[Date]])/3,0)</f>
        <v>Q3</v>
      </c>
      <c r="M166" s="1" t="d">
        <f>DATE(YEAR(SalesData[[#This Row],[Date]]),MONTH(SalesData[[#This Row],[Date]]),1)</f>
        <v>2023-09-01</v>
      </c>
      <c r="N16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67" spans="1:14">
      <c r="A167">
        <v>166</v>
      </c>
      <c r="B167" s="1" t="d">
        <v>2023-04-02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t="str">
        <f>TEXT(SalesData[[#This Row],[Date]],"yyyy-mm")</f>
        <v>2023-04</v>
      </c>
      <c r="K167">
        <f>YEAR(SalesData[[#This Row],[Date]])</f>
        <v>2023</v>
      </c>
      <c r="L167" t="str">
        <f>"Q"&amp;ROUNDUP(MONTH(SalesData[[#This Row],[Date]])/3,0)</f>
        <v>Q2</v>
      </c>
      <c r="M167" s="1" t="d">
        <f>DATE(YEAR(SalesData[[#This Row],[Date]]),MONTH(SalesData[[#This Row],[Date]]),1)</f>
        <v>2023-04-01</v>
      </c>
      <c r="N16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68" spans="1:14">
      <c r="A168">
        <v>167</v>
      </c>
      <c r="B168" s="1" t="d">
        <v>2023-09-17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t="str">
        <f>TEXT(SalesData[[#This Row],[Date]],"yyyy-mm")</f>
        <v>2023-09</v>
      </c>
      <c r="K168">
        <f>YEAR(SalesData[[#This Row],[Date]])</f>
        <v>2023</v>
      </c>
      <c r="L168" t="str">
        <f>"Q"&amp;ROUNDUP(MONTH(SalesData[[#This Row],[Date]])/3,0)</f>
        <v>Q3</v>
      </c>
      <c r="M168" s="1" t="d">
        <f>DATE(YEAR(SalesData[[#This Row],[Date]]),MONTH(SalesData[[#This Row],[Date]]),1)</f>
        <v>2023-09-01</v>
      </c>
      <c r="N16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69" spans="1:14">
      <c r="A169">
        <v>168</v>
      </c>
      <c r="B169" s="1" t="d">
        <v>2023-02-24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t="str">
        <f>TEXT(SalesData[[#This Row],[Date]],"yyyy-mm")</f>
        <v>2023-02</v>
      </c>
      <c r="K169">
        <f>YEAR(SalesData[[#This Row],[Date]])</f>
        <v>2023</v>
      </c>
      <c r="L169" t="str">
        <f>"Q"&amp;ROUNDUP(MONTH(SalesData[[#This Row],[Date]])/3,0)</f>
        <v>Q1</v>
      </c>
      <c r="M169" s="1" t="d">
        <f>DATE(YEAR(SalesData[[#This Row],[Date]]),MONTH(SalesData[[#This Row],[Date]]),1)</f>
        <v>2023-02-01</v>
      </c>
      <c r="N16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70" spans="1:14">
      <c r="A170">
        <v>169</v>
      </c>
      <c r="B170" s="1" t="d">
        <v>2023-11-17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t="str">
        <f>TEXT(SalesData[[#This Row],[Date]],"yyyy-mm")</f>
        <v>2023-11</v>
      </c>
      <c r="K170">
        <f>YEAR(SalesData[[#This Row],[Date]])</f>
        <v>2023</v>
      </c>
      <c r="L170" t="str">
        <f>"Q"&amp;ROUNDUP(MONTH(SalesData[[#This Row],[Date]])/3,0)</f>
        <v>Q4</v>
      </c>
      <c r="M170" s="1" t="d">
        <f>DATE(YEAR(SalesData[[#This Row],[Date]]),MONTH(SalesData[[#This Row],[Date]]),1)</f>
        <v>2023-11-01</v>
      </c>
      <c r="N170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171" spans="1:14">
      <c r="A171">
        <v>170</v>
      </c>
      <c r="B171" s="1" t="d">
        <v>2023-06-02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t="str">
        <f>TEXT(SalesData[[#This Row],[Date]],"yyyy-mm")</f>
        <v>2023-06</v>
      </c>
      <c r="K171">
        <f>YEAR(SalesData[[#This Row],[Date]])</f>
        <v>2023</v>
      </c>
      <c r="L171" t="str">
        <f>"Q"&amp;ROUNDUP(MONTH(SalesData[[#This Row],[Date]])/3,0)</f>
        <v>Q2</v>
      </c>
      <c r="M171" s="1" t="d">
        <f>DATE(YEAR(SalesData[[#This Row],[Date]]),MONTH(SalesData[[#This Row],[Date]]),1)</f>
        <v>2023-06-01</v>
      </c>
      <c r="N17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72" spans="1:14">
      <c r="A172">
        <v>171</v>
      </c>
      <c r="B172" s="1" t="d">
        <v>2023-11-24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t="str">
        <f>TEXT(SalesData[[#This Row],[Date]],"yyyy-mm")</f>
        <v>2023-11</v>
      </c>
      <c r="K172">
        <f>YEAR(SalesData[[#This Row],[Date]])</f>
        <v>2023</v>
      </c>
      <c r="L172" t="str">
        <f>"Q"&amp;ROUNDUP(MONTH(SalesData[[#This Row],[Date]])/3,0)</f>
        <v>Q4</v>
      </c>
      <c r="M172" s="1" t="d">
        <f>DATE(YEAR(SalesData[[#This Row],[Date]]),MONTH(SalesData[[#This Row],[Date]]),1)</f>
        <v>2023-11-01</v>
      </c>
      <c r="N17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73" spans="1:14">
      <c r="A173">
        <v>172</v>
      </c>
      <c r="B173" s="1" t="d">
        <v>2023-09-17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t="str">
        <f>TEXT(SalesData[[#This Row],[Date]],"yyyy-mm")</f>
        <v>2023-09</v>
      </c>
      <c r="K173">
        <f>YEAR(SalesData[[#This Row],[Date]])</f>
        <v>2023</v>
      </c>
      <c r="L173" t="str">
        <f>"Q"&amp;ROUNDUP(MONTH(SalesData[[#This Row],[Date]])/3,0)</f>
        <v>Q3</v>
      </c>
      <c r="M173" s="1" t="d">
        <f>DATE(YEAR(SalesData[[#This Row],[Date]]),MONTH(SalesData[[#This Row],[Date]]),1)</f>
        <v>2023-09-01</v>
      </c>
      <c r="N17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74" spans="1:14">
      <c r="A174">
        <v>173</v>
      </c>
      <c r="B174" s="1" t="d">
        <v>2023-11-08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t="str">
        <f>TEXT(SalesData[[#This Row],[Date]],"yyyy-mm")</f>
        <v>2023-11</v>
      </c>
      <c r="K174">
        <f>YEAR(SalesData[[#This Row],[Date]])</f>
        <v>2023</v>
      </c>
      <c r="L174" t="str">
        <f>"Q"&amp;ROUNDUP(MONTH(SalesData[[#This Row],[Date]])/3,0)</f>
        <v>Q4</v>
      </c>
      <c r="M174" s="1" t="d">
        <f>DATE(YEAR(SalesData[[#This Row],[Date]]),MONTH(SalesData[[#This Row],[Date]]),1)</f>
        <v>2023-11-01</v>
      </c>
      <c r="N17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75" spans="1:14">
      <c r="A175">
        <v>174</v>
      </c>
      <c r="B175" s="1" t="d">
        <v>2023-04-12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t="str">
        <f>TEXT(SalesData[[#This Row],[Date]],"yyyy-mm")</f>
        <v>2023-04</v>
      </c>
      <c r="K175">
        <f>YEAR(SalesData[[#This Row],[Date]])</f>
        <v>2023</v>
      </c>
      <c r="L175" t="str">
        <f>"Q"&amp;ROUNDUP(MONTH(SalesData[[#This Row],[Date]])/3,0)</f>
        <v>Q2</v>
      </c>
      <c r="M175" s="1" t="d">
        <f>DATE(YEAR(SalesData[[#This Row],[Date]]),MONTH(SalesData[[#This Row],[Date]]),1)</f>
        <v>2023-04-01</v>
      </c>
      <c r="N17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76" spans="1:14">
      <c r="A176">
        <v>175</v>
      </c>
      <c r="B176" s="1" t="d">
        <v>2023-03-20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t="str">
        <f>TEXT(SalesData[[#This Row],[Date]],"yyyy-mm")</f>
        <v>2023-03</v>
      </c>
      <c r="K176">
        <f>YEAR(SalesData[[#This Row],[Date]])</f>
        <v>2023</v>
      </c>
      <c r="L176" t="str">
        <f>"Q"&amp;ROUNDUP(MONTH(SalesData[[#This Row],[Date]])/3,0)</f>
        <v>Q1</v>
      </c>
      <c r="M176" s="1" t="d">
        <f>DATE(YEAR(SalesData[[#This Row],[Date]]),MONTH(SalesData[[#This Row],[Date]]),1)</f>
        <v>2023-03-01</v>
      </c>
      <c r="N17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77" spans="1:14">
      <c r="A177">
        <v>176</v>
      </c>
      <c r="B177" s="1" t="d">
        <v>2023-07-11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t="str">
        <f>TEXT(SalesData[[#This Row],[Date]],"yyyy-mm")</f>
        <v>2023-07</v>
      </c>
      <c r="K177">
        <f>YEAR(SalesData[[#This Row],[Date]])</f>
        <v>2023</v>
      </c>
      <c r="L177" t="str">
        <f>"Q"&amp;ROUNDUP(MONTH(SalesData[[#This Row],[Date]])/3,0)</f>
        <v>Q3</v>
      </c>
      <c r="M177" s="1" t="d">
        <f>DATE(YEAR(SalesData[[#This Row],[Date]]),MONTH(SalesData[[#This Row],[Date]]),1)</f>
        <v>2023-07-01</v>
      </c>
      <c r="N17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78" spans="1:14">
      <c r="A178">
        <v>177</v>
      </c>
      <c r="B178" s="1" t="d">
        <v>2023-03-24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t="str">
        <f>TEXT(SalesData[[#This Row],[Date]],"yyyy-mm")</f>
        <v>2023-03</v>
      </c>
      <c r="K178">
        <f>YEAR(SalesData[[#This Row],[Date]])</f>
        <v>2023</v>
      </c>
      <c r="L178" t="str">
        <f>"Q"&amp;ROUNDUP(MONTH(SalesData[[#This Row],[Date]])/3,0)</f>
        <v>Q1</v>
      </c>
      <c r="M178" s="1" t="d">
        <f>DATE(YEAR(SalesData[[#This Row],[Date]]),MONTH(SalesData[[#This Row],[Date]]),1)</f>
        <v>2023-03-01</v>
      </c>
      <c r="N17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79" spans="1:14">
      <c r="A179">
        <v>178</v>
      </c>
      <c r="B179" s="1" t="d">
        <v>2023-10-04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t="str">
        <f>TEXT(SalesData[[#This Row],[Date]],"yyyy-mm")</f>
        <v>2023-10</v>
      </c>
      <c r="K179">
        <f>YEAR(SalesData[[#This Row],[Date]])</f>
        <v>2023</v>
      </c>
      <c r="L179" t="str">
        <f>"Q"&amp;ROUNDUP(MONTH(SalesData[[#This Row],[Date]])/3,0)</f>
        <v>Q4</v>
      </c>
      <c r="M179" s="1" t="d">
        <f>DATE(YEAR(SalesData[[#This Row],[Date]]),MONTH(SalesData[[#This Row],[Date]]),1)</f>
        <v>2023-10-01</v>
      </c>
      <c r="N17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80" spans="1:14">
      <c r="A180">
        <v>179</v>
      </c>
      <c r="B180" s="1" t="d">
        <v>2023-09-29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t="str">
        <f>TEXT(SalesData[[#This Row],[Date]],"yyyy-mm")</f>
        <v>2023-09</v>
      </c>
      <c r="K180">
        <f>YEAR(SalesData[[#This Row],[Date]])</f>
        <v>2023</v>
      </c>
      <c r="L180" t="str">
        <f>"Q"&amp;ROUNDUP(MONTH(SalesData[[#This Row],[Date]])/3,0)</f>
        <v>Q3</v>
      </c>
      <c r="M180" s="1" t="d">
        <f>DATE(YEAR(SalesData[[#This Row],[Date]]),MONTH(SalesData[[#This Row],[Date]]),1)</f>
        <v>2023-09-01</v>
      </c>
      <c r="N18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81" spans="1:14">
      <c r="A181">
        <v>180</v>
      </c>
      <c r="B181" s="1" t="d">
        <v>2023-01-01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t="str">
        <f>TEXT(SalesData[[#This Row],[Date]],"yyyy-mm")</f>
        <v>2023-01</v>
      </c>
      <c r="K181">
        <f>YEAR(SalesData[[#This Row],[Date]])</f>
        <v>2023</v>
      </c>
      <c r="L181" t="str">
        <f>"Q"&amp;ROUNDUP(MONTH(SalesData[[#This Row],[Date]])/3,0)</f>
        <v>Q1</v>
      </c>
      <c r="M181" s="1" t="d">
        <f>DATE(YEAR(SalesData[[#This Row],[Date]]),MONTH(SalesData[[#This Row],[Date]]),1)</f>
        <v>2023-01-01</v>
      </c>
      <c r="N18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82" spans="1:14">
      <c r="A182">
        <v>181</v>
      </c>
      <c r="B182" s="1" t="d">
        <v>2023-11-03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t="str">
        <f>TEXT(SalesData[[#This Row],[Date]],"yyyy-mm")</f>
        <v>2023-11</v>
      </c>
      <c r="K182">
        <f>YEAR(SalesData[[#This Row],[Date]])</f>
        <v>2023</v>
      </c>
      <c r="L182" t="str">
        <f>"Q"&amp;ROUNDUP(MONTH(SalesData[[#This Row],[Date]])/3,0)</f>
        <v>Q4</v>
      </c>
      <c r="M182" s="1" t="d">
        <f>DATE(YEAR(SalesData[[#This Row],[Date]]),MONTH(SalesData[[#This Row],[Date]]),1)</f>
        <v>2023-11-01</v>
      </c>
      <c r="N182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183" spans="1:14">
      <c r="A183">
        <v>182</v>
      </c>
      <c r="B183" s="1" t="d">
        <v>2023-06-15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t="str">
        <f>TEXT(SalesData[[#This Row],[Date]],"yyyy-mm")</f>
        <v>2023-06</v>
      </c>
      <c r="K183">
        <f>YEAR(SalesData[[#This Row],[Date]])</f>
        <v>2023</v>
      </c>
      <c r="L183" t="str">
        <f>"Q"&amp;ROUNDUP(MONTH(SalesData[[#This Row],[Date]])/3,0)</f>
        <v>Q2</v>
      </c>
      <c r="M183" s="1" t="d">
        <f>DATE(YEAR(SalesData[[#This Row],[Date]]),MONTH(SalesData[[#This Row],[Date]]),1)</f>
        <v>2023-06-01</v>
      </c>
      <c r="N18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84" spans="1:14">
      <c r="A184">
        <v>183</v>
      </c>
      <c r="B184" s="1" t="d">
        <v>2023-09-08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t="str">
        <f>TEXT(SalesData[[#This Row],[Date]],"yyyy-mm")</f>
        <v>2023-09</v>
      </c>
      <c r="K184">
        <f>YEAR(SalesData[[#This Row],[Date]])</f>
        <v>2023</v>
      </c>
      <c r="L184" t="str">
        <f>"Q"&amp;ROUNDUP(MONTH(SalesData[[#This Row],[Date]])/3,0)</f>
        <v>Q3</v>
      </c>
      <c r="M184" s="1" t="d">
        <f>DATE(YEAR(SalesData[[#This Row],[Date]]),MONTH(SalesData[[#This Row],[Date]]),1)</f>
        <v>2023-09-01</v>
      </c>
      <c r="N18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85" spans="1:14">
      <c r="A185">
        <v>184</v>
      </c>
      <c r="B185" s="1" t="d">
        <v>2023-01-10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t="str">
        <f>TEXT(SalesData[[#This Row],[Date]],"yyyy-mm")</f>
        <v>2023-01</v>
      </c>
      <c r="K185">
        <f>YEAR(SalesData[[#This Row],[Date]])</f>
        <v>2023</v>
      </c>
      <c r="L185" t="str">
        <f>"Q"&amp;ROUNDUP(MONTH(SalesData[[#This Row],[Date]])/3,0)</f>
        <v>Q1</v>
      </c>
      <c r="M185" s="1" t="d">
        <f>DATE(YEAR(SalesData[[#This Row],[Date]]),MONTH(SalesData[[#This Row],[Date]]),1)</f>
        <v>2023-01-01</v>
      </c>
      <c r="N18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86" spans="1:14">
      <c r="A186">
        <v>185</v>
      </c>
      <c r="B186" s="1" t="d">
        <v>2023-02-27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t="str">
        <f>TEXT(SalesData[[#This Row],[Date]],"yyyy-mm")</f>
        <v>2023-02</v>
      </c>
      <c r="K186">
        <f>YEAR(SalesData[[#This Row],[Date]])</f>
        <v>2023</v>
      </c>
      <c r="L186" t="str">
        <f>"Q"&amp;ROUNDUP(MONTH(SalesData[[#This Row],[Date]])/3,0)</f>
        <v>Q1</v>
      </c>
      <c r="M186" s="1" t="d">
        <f>DATE(YEAR(SalesData[[#This Row],[Date]]),MONTH(SalesData[[#This Row],[Date]]),1)</f>
        <v>2023-02-01</v>
      </c>
      <c r="N18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87" spans="1:14">
      <c r="A187">
        <v>186</v>
      </c>
      <c r="B187" s="1" t="d">
        <v>2023-07-05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t="str">
        <f>TEXT(SalesData[[#This Row],[Date]],"yyyy-mm")</f>
        <v>2023-07</v>
      </c>
      <c r="K187">
        <f>YEAR(SalesData[[#This Row],[Date]])</f>
        <v>2023</v>
      </c>
      <c r="L187" t="str">
        <f>"Q"&amp;ROUNDUP(MONTH(SalesData[[#This Row],[Date]])/3,0)</f>
        <v>Q3</v>
      </c>
      <c r="M187" s="1" t="d">
        <f>DATE(YEAR(SalesData[[#This Row],[Date]]),MONTH(SalesData[[#This Row],[Date]]),1)</f>
        <v>2023-07-01</v>
      </c>
      <c r="N18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88" spans="1:14">
      <c r="A188">
        <v>187</v>
      </c>
      <c r="B188" s="1" t="d">
        <v>2023-06-07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t="str">
        <f>TEXT(SalesData[[#This Row],[Date]],"yyyy-mm")</f>
        <v>2023-06</v>
      </c>
      <c r="K188">
        <f>YEAR(SalesData[[#This Row],[Date]])</f>
        <v>2023</v>
      </c>
      <c r="L188" t="str">
        <f>"Q"&amp;ROUNDUP(MONTH(SalesData[[#This Row],[Date]])/3,0)</f>
        <v>Q2</v>
      </c>
      <c r="M188" s="1" t="d">
        <f>DATE(YEAR(SalesData[[#This Row],[Date]]),MONTH(SalesData[[#This Row],[Date]]),1)</f>
        <v>2023-06-01</v>
      </c>
      <c r="N18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89" spans="1:14">
      <c r="A189">
        <v>188</v>
      </c>
      <c r="B189" s="1" t="d">
        <v>2023-05-03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t="str">
        <f>TEXT(SalesData[[#This Row],[Date]],"yyyy-mm")</f>
        <v>2023-05</v>
      </c>
      <c r="K189">
        <f>YEAR(SalesData[[#This Row],[Date]])</f>
        <v>2023</v>
      </c>
      <c r="L189" t="str">
        <f>"Q"&amp;ROUNDUP(MONTH(SalesData[[#This Row],[Date]])/3,0)</f>
        <v>Q2</v>
      </c>
      <c r="M189" s="1" t="d">
        <f>DATE(YEAR(SalesData[[#This Row],[Date]]),MONTH(SalesData[[#This Row],[Date]]),1)</f>
        <v>2023-05-01</v>
      </c>
      <c r="N18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90" spans="1:14">
      <c r="A190">
        <v>189</v>
      </c>
      <c r="B190" s="1" t="d">
        <v>2023-01-30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t="str">
        <f>TEXT(SalesData[[#This Row],[Date]],"yyyy-mm")</f>
        <v>2023-01</v>
      </c>
      <c r="K190">
        <f>YEAR(SalesData[[#This Row],[Date]])</f>
        <v>2023</v>
      </c>
      <c r="L190" t="str">
        <f>"Q"&amp;ROUNDUP(MONTH(SalesData[[#This Row],[Date]])/3,0)</f>
        <v>Q1</v>
      </c>
      <c r="M190" s="1" t="d">
        <f>DATE(YEAR(SalesData[[#This Row],[Date]]),MONTH(SalesData[[#This Row],[Date]]),1)</f>
        <v>2023-01-01</v>
      </c>
      <c r="N19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1" spans="1:14">
      <c r="A191">
        <v>190</v>
      </c>
      <c r="B191" s="1" t="d">
        <v>2023-05-04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t="str">
        <f>TEXT(SalesData[[#This Row],[Date]],"yyyy-mm")</f>
        <v>2023-05</v>
      </c>
      <c r="K191">
        <f>YEAR(SalesData[[#This Row],[Date]])</f>
        <v>2023</v>
      </c>
      <c r="L191" t="str">
        <f>"Q"&amp;ROUNDUP(MONTH(SalesData[[#This Row],[Date]])/3,0)</f>
        <v>Q2</v>
      </c>
      <c r="M191" s="1" t="d">
        <f>DATE(YEAR(SalesData[[#This Row],[Date]]),MONTH(SalesData[[#This Row],[Date]]),1)</f>
        <v>2023-05-01</v>
      </c>
      <c r="N19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2" spans="1:14">
      <c r="A192">
        <v>191</v>
      </c>
      <c r="B192" s="1" t="d">
        <v>2023-10-18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t="str">
        <f>TEXT(SalesData[[#This Row],[Date]],"yyyy-mm")</f>
        <v>2023-10</v>
      </c>
      <c r="K192">
        <f>YEAR(SalesData[[#This Row],[Date]])</f>
        <v>2023</v>
      </c>
      <c r="L192" t="str">
        <f>"Q"&amp;ROUNDUP(MONTH(SalesData[[#This Row],[Date]])/3,0)</f>
        <v>Q4</v>
      </c>
      <c r="M192" s="1" t="d">
        <f>DATE(YEAR(SalesData[[#This Row],[Date]]),MONTH(SalesData[[#This Row],[Date]]),1)</f>
        <v>2023-10-01</v>
      </c>
      <c r="N1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3" spans="1:14">
      <c r="A193">
        <v>192</v>
      </c>
      <c r="B193" s="1" t="d">
        <v>2023-02-10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t="str">
        <f>TEXT(SalesData[[#This Row],[Date]],"yyyy-mm")</f>
        <v>2023-02</v>
      </c>
      <c r="K193">
        <f>YEAR(SalesData[[#This Row],[Date]])</f>
        <v>2023</v>
      </c>
      <c r="L193" t="str">
        <f>"Q"&amp;ROUNDUP(MONTH(SalesData[[#This Row],[Date]])/3,0)</f>
        <v>Q1</v>
      </c>
      <c r="M193" s="1" t="d">
        <f>DATE(YEAR(SalesData[[#This Row],[Date]]),MONTH(SalesData[[#This Row],[Date]]),1)</f>
        <v>2023-02-01</v>
      </c>
      <c r="N19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4" spans="1:14">
      <c r="A194">
        <v>193</v>
      </c>
      <c r="B194" s="1" t="d">
        <v>2023-02-13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t="str">
        <f>TEXT(SalesData[[#This Row],[Date]],"yyyy-mm")</f>
        <v>2023-02</v>
      </c>
      <c r="K194">
        <f>YEAR(SalesData[[#This Row],[Date]])</f>
        <v>2023</v>
      </c>
      <c r="L194" t="str">
        <f>"Q"&amp;ROUNDUP(MONTH(SalesData[[#This Row],[Date]])/3,0)</f>
        <v>Q1</v>
      </c>
      <c r="M194" s="1" t="d">
        <f>DATE(YEAR(SalesData[[#This Row],[Date]]),MONTH(SalesData[[#This Row],[Date]]),1)</f>
        <v>2023-02-01</v>
      </c>
      <c r="N19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95" spans="1:14">
      <c r="A195">
        <v>194</v>
      </c>
      <c r="B195" s="1" t="d">
        <v>2023-09-06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t="str">
        <f>TEXT(SalesData[[#This Row],[Date]],"yyyy-mm")</f>
        <v>2023-09</v>
      </c>
      <c r="K195">
        <f>YEAR(SalesData[[#This Row],[Date]])</f>
        <v>2023</v>
      </c>
      <c r="L195" t="str">
        <f>"Q"&amp;ROUNDUP(MONTH(SalesData[[#This Row],[Date]])/3,0)</f>
        <v>Q3</v>
      </c>
      <c r="M195" s="1" t="d">
        <f>DATE(YEAR(SalesData[[#This Row],[Date]]),MONTH(SalesData[[#This Row],[Date]]),1)</f>
        <v>2023-09-01</v>
      </c>
      <c r="N19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6" spans="1:14">
      <c r="A196">
        <v>195</v>
      </c>
      <c r="B196" s="1" t="d">
        <v>2023-02-05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t="str">
        <f>TEXT(SalesData[[#This Row],[Date]],"yyyy-mm")</f>
        <v>2023-02</v>
      </c>
      <c r="K196">
        <f>YEAR(SalesData[[#This Row],[Date]])</f>
        <v>2023</v>
      </c>
      <c r="L196" t="str">
        <f>"Q"&amp;ROUNDUP(MONTH(SalesData[[#This Row],[Date]])/3,0)</f>
        <v>Q1</v>
      </c>
      <c r="M196" s="1" t="d">
        <f>DATE(YEAR(SalesData[[#This Row],[Date]]),MONTH(SalesData[[#This Row],[Date]]),1)</f>
        <v>2023-02-01</v>
      </c>
      <c r="N19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197" spans="1:14">
      <c r="A197">
        <v>196</v>
      </c>
      <c r="B197" s="1" t="d">
        <v>2023-09-30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t="str">
        <f>TEXT(SalesData[[#This Row],[Date]],"yyyy-mm")</f>
        <v>2023-09</v>
      </c>
      <c r="K197">
        <f>YEAR(SalesData[[#This Row],[Date]])</f>
        <v>2023</v>
      </c>
      <c r="L197" t="str">
        <f>"Q"&amp;ROUNDUP(MONTH(SalesData[[#This Row],[Date]])/3,0)</f>
        <v>Q3</v>
      </c>
      <c r="M197" s="1" t="d">
        <f>DATE(YEAR(SalesData[[#This Row],[Date]]),MONTH(SalesData[[#This Row],[Date]]),1)</f>
        <v>2023-09-01</v>
      </c>
      <c r="N19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98" spans="1:14">
      <c r="A198">
        <v>197</v>
      </c>
      <c r="B198" s="1" t="d">
        <v>2023-03-06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t="str">
        <f>TEXT(SalesData[[#This Row],[Date]],"yyyy-mm")</f>
        <v>2023-03</v>
      </c>
      <c r="K198">
        <f>YEAR(SalesData[[#This Row],[Date]])</f>
        <v>2023</v>
      </c>
      <c r="L198" t="str">
        <f>"Q"&amp;ROUNDUP(MONTH(SalesData[[#This Row],[Date]])/3,0)</f>
        <v>Q1</v>
      </c>
      <c r="M198" s="1" t="d">
        <f>DATE(YEAR(SalesData[[#This Row],[Date]]),MONTH(SalesData[[#This Row],[Date]]),1)</f>
        <v>2023-03-01</v>
      </c>
      <c r="N19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199" spans="1:14">
      <c r="A199">
        <v>198</v>
      </c>
      <c r="B199" s="1" t="d">
        <v>2023-03-07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t="str">
        <f>TEXT(SalesData[[#This Row],[Date]],"yyyy-mm")</f>
        <v>2023-03</v>
      </c>
      <c r="K199">
        <f>YEAR(SalesData[[#This Row],[Date]])</f>
        <v>2023</v>
      </c>
      <c r="L199" t="str">
        <f>"Q"&amp;ROUNDUP(MONTH(SalesData[[#This Row],[Date]])/3,0)</f>
        <v>Q1</v>
      </c>
      <c r="M199" s="1" t="d">
        <f>DATE(YEAR(SalesData[[#This Row],[Date]]),MONTH(SalesData[[#This Row],[Date]]),1)</f>
        <v>2023-03-01</v>
      </c>
      <c r="N19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00" spans="1:14">
      <c r="A200">
        <v>199</v>
      </c>
      <c r="B200" s="1" t="d">
        <v>2023-12-04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t="str">
        <f>TEXT(SalesData[[#This Row],[Date]],"yyyy-mm")</f>
        <v>2023-12</v>
      </c>
      <c r="K200">
        <f>YEAR(SalesData[[#This Row],[Date]])</f>
        <v>2023</v>
      </c>
      <c r="L200" t="str">
        <f>"Q"&amp;ROUNDUP(MONTH(SalesData[[#This Row],[Date]])/3,0)</f>
        <v>Q4</v>
      </c>
      <c r="M200" s="1" t="d">
        <f>DATE(YEAR(SalesData[[#This Row],[Date]]),MONTH(SalesData[[#This Row],[Date]]),1)</f>
        <v>2023-12-01</v>
      </c>
      <c r="N20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01" spans="1:14">
      <c r="A201">
        <v>200</v>
      </c>
      <c r="B201" s="1" t="d">
        <v>2023-09-01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t="str">
        <f>TEXT(SalesData[[#This Row],[Date]],"yyyy-mm")</f>
        <v>2023-09</v>
      </c>
      <c r="K201">
        <f>YEAR(SalesData[[#This Row],[Date]])</f>
        <v>2023</v>
      </c>
      <c r="L201" t="str">
        <f>"Q"&amp;ROUNDUP(MONTH(SalesData[[#This Row],[Date]])/3,0)</f>
        <v>Q3</v>
      </c>
      <c r="M201" s="1" t="d">
        <f>DATE(YEAR(SalesData[[#This Row],[Date]]),MONTH(SalesData[[#This Row],[Date]]),1)</f>
        <v>2023-09-01</v>
      </c>
      <c r="N20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02" spans="1:14">
      <c r="A202">
        <v>201</v>
      </c>
      <c r="B202" s="1" t="d">
        <v>2023-10-09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t="str">
        <f>TEXT(SalesData[[#This Row],[Date]],"yyyy-mm")</f>
        <v>2023-10</v>
      </c>
      <c r="K202">
        <f>YEAR(SalesData[[#This Row],[Date]])</f>
        <v>2023</v>
      </c>
      <c r="L202" t="str">
        <f>"Q"&amp;ROUNDUP(MONTH(SalesData[[#This Row],[Date]])/3,0)</f>
        <v>Q4</v>
      </c>
      <c r="M202" s="1" t="d">
        <f>DATE(YEAR(SalesData[[#This Row],[Date]]),MONTH(SalesData[[#This Row],[Date]]),1)</f>
        <v>2023-10-01</v>
      </c>
      <c r="N20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03" spans="1:14">
      <c r="A203">
        <v>202</v>
      </c>
      <c r="B203" s="1" t="d">
        <v>2023-03-26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t="str">
        <f>TEXT(SalesData[[#This Row],[Date]],"yyyy-mm")</f>
        <v>2023-03</v>
      </c>
      <c r="K203">
        <f>YEAR(SalesData[[#This Row],[Date]])</f>
        <v>2023</v>
      </c>
      <c r="L203" t="str">
        <f>"Q"&amp;ROUNDUP(MONTH(SalesData[[#This Row],[Date]])/3,0)</f>
        <v>Q1</v>
      </c>
      <c r="M203" s="1" t="d">
        <f>DATE(YEAR(SalesData[[#This Row],[Date]]),MONTH(SalesData[[#This Row],[Date]]),1)</f>
        <v>2023-03-01</v>
      </c>
      <c r="N20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04" spans="1:14">
      <c r="A204">
        <v>203</v>
      </c>
      <c r="B204" s="1" t="d">
        <v>2023-05-16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t="str">
        <f>TEXT(SalesData[[#This Row],[Date]],"yyyy-mm")</f>
        <v>2023-05</v>
      </c>
      <c r="K204">
        <f>YEAR(SalesData[[#This Row],[Date]])</f>
        <v>2023</v>
      </c>
      <c r="L204" t="str">
        <f>"Q"&amp;ROUNDUP(MONTH(SalesData[[#This Row],[Date]])/3,0)</f>
        <v>Q2</v>
      </c>
      <c r="M204" s="1" t="d">
        <f>DATE(YEAR(SalesData[[#This Row],[Date]]),MONTH(SalesData[[#This Row],[Date]]),1)</f>
        <v>2023-05-01</v>
      </c>
      <c r="N20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05" spans="1:14">
      <c r="A205">
        <v>204</v>
      </c>
      <c r="B205" s="1" t="d">
        <v>2023-09-28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t="str">
        <f>TEXT(SalesData[[#This Row],[Date]],"yyyy-mm")</f>
        <v>2023-09</v>
      </c>
      <c r="K205">
        <f>YEAR(SalesData[[#This Row],[Date]])</f>
        <v>2023</v>
      </c>
      <c r="L205" t="str">
        <f>"Q"&amp;ROUNDUP(MONTH(SalesData[[#This Row],[Date]])/3,0)</f>
        <v>Q3</v>
      </c>
      <c r="M205" s="1" t="d">
        <f>DATE(YEAR(SalesData[[#This Row],[Date]]),MONTH(SalesData[[#This Row],[Date]]),1)</f>
        <v>2023-09-01</v>
      </c>
      <c r="N20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06" spans="1:14">
      <c r="A206">
        <v>205</v>
      </c>
      <c r="B206" s="1" t="d">
        <v>2023-11-07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t="str">
        <f>TEXT(SalesData[[#This Row],[Date]],"yyyy-mm")</f>
        <v>2023-11</v>
      </c>
      <c r="K206">
        <f>YEAR(SalesData[[#This Row],[Date]])</f>
        <v>2023</v>
      </c>
      <c r="L206" t="str">
        <f>"Q"&amp;ROUNDUP(MONTH(SalesData[[#This Row],[Date]])/3,0)</f>
        <v>Q4</v>
      </c>
      <c r="M206" s="1" t="d">
        <f>DATE(YEAR(SalesData[[#This Row],[Date]]),MONTH(SalesData[[#This Row],[Date]]),1)</f>
        <v>2023-11-01</v>
      </c>
      <c r="N20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07" spans="1:14">
      <c r="A207">
        <v>206</v>
      </c>
      <c r="B207" s="1" t="d">
        <v>2023-08-05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t="str">
        <f>TEXT(SalesData[[#This Row],[Date]],"yyyy-mm")</f>
        <v>2023-08</v>
      </c>
      <c r="K207">
        <f>YEAR(SalesData[[#This Row],[Date]])</f>
        <v>2023</v>
      </c>
      <c r="L207" t="str">
        <f>"Q"&amp;ROUNDUP(MONTH(SalesData[[#This Row],[Date]])/3,0)</f>
        <v>Q3</v>
      </c>
      <c r="M207" s="1" t="d">
        <f>DATE(YEAR(SalesData[[#This Row],[Date]]),MONTH(SalesData[[#This Row],[Date]]),1)</f>
        <v>2023-08-01</v>
      </c>
      <c r="N20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08" spans="1:14">
      <c r="A208">
        <v>207</v>
      </c>
      <c r="B208" s="1" t="d">
        <v>2023-04-19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t="str">
        <f>TEXT(SalesData[[#This Row],[Date]],"yyyy-mm")</f>
        <v>2023-04</v>
      </c>
      <c r="K208">
        <f>YEAR(SalesData[[#This Row],[Date]])</f>
        <v>2023</v>
      </c>
      <c r="L208" t="str">
        <f>"Q"&amp;ROUNDUP(MONTH(SalesData[[#This Row],[Date]])/3,0)</f>
        <v>Q2</v>
      </c>
      <c r="M208" s="1" t="d">
        <f>DATE(YEAR(SalesData[[#This Row],[Date]]),MONTH(SalesData[[#This Row],[Date]]),1)</f>
        <v>2023-04-01</v>
      </c>
      <c r="N20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09" spans="1:14">
      <c r="A209">
        <v>208</v>
      </c>
      <c r="B209" s="1" t="d">
        <v>2023-10-04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t="str">
        <f>TEXT(SalesData[[#This Row],[Date]],"yyyy-mm")</f>
        <v>2023-10</v>
      </c>
      <c r="K209">
        <f>YEAR(SalesData[[#This Row],[Date]])</f>
        <v>2023</v>
      </c>
      <c r="L209" t="str">
        <f>"Q"&amp;ROUNDUP(MONTH(SalesData[[#This Row],[Date]])/3,0)</f>
        <v>Q4</v>
      </c>
      <c r="M209" s="1" t="d">
        <f>DATE(YEAR(SalesData[[#This Row],[Date]]),MONTH(SalesData[[#This Row],[Date]]),1)</f>
        <v>2023-10-01</v>
      </c>
      <c r="N20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10" spans="1:14">
      <c r="A210">
        <v>209</v>
      </c>
      <c r="B210" s="1" t="d">
        <v>2023-12-20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t="str">
        <f>TEXT(SalesData[[#This Row],[Date]],"yyyy-mm")</f>
        <v>2023-12</v>
      </c>
      <c r="K210">
        <f>YEAR(SalesData[[#This Row],[Date]])</f>
        <v>2023</v>
      </c>
      <c r="L210" t="str">
        <f>"Q"&amp;ROUNDUP(MONTH(SalesData[[#This Row],[Date]])/3,0)</f>
        <v>Q4</v>
      </c>
      <c r="M210" s="1" t="d">
        <f>DATE(YEAR(SalesData[[#This Row],[Date]]),MONTH(SalesData[[#This Row],[Date]]),1)</f>
        <v>2023-12-01</v>
      </c>
      <c r="N21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11" spans="1:14">
      <c r="A211">
        <v>210</v>
      </c>
      <c r="B211" s="1" t="d">
        <v>2023-04-13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t="str">
        <f>TEXT(SalesData[[#This Row],[Date]],"yyyy-mm")</f>
        <v>2023-04</v>
      </c>
      <c r="K211">
        <f>YEAR(SalesData[[#This Row],[Date]])</f>
        <v>2023</v>
      </c>
      <c r="L211" t="str">
        <f>"Q"&amp;ROUNDUP(MONTH(SalesData[[#This Row],[Date]])/3,0)</f>
        <v>Q2</v>
      </c>
      <c r="M211" s="1" t="d">
        <f>DATE(YEAR(SalesData[[#This Row],[Date]]),MONTH(SalesData[[#This Row],[Date]]),1)</f>
        <v>2023-04-01</v>
      </c>
      <c r="N21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12" spans="1:14">
      <c r="A212">
        <v>211</v>
      </c>
      <c r="B212" s="1" t="d">
        <v>2024-01-01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t="str">
        <f>TEXT(SalesData[[#This Row],[Date]],"yyyy-mm")</f>
        <v>2024-01</v>
      </c>
      <c r="K212">
        <f>YEAR(SalesData[[#This Row],[Date]])</f>
        <v>2024</v>
      </c>
      <c r="L212" t="str">
        <f>"Q"&amp;ROUNDUP(MONTH(SalesData[[#This Row],[Date]])/3,0)</f>
        <v>Q1</v>
      </c>
      <c r="M212" s="1" t="d">
        <f>DATE(YEAR(SalesData[[#This Row],[Date]]),MONTH(SalesData[[#This Row],[Date]]),1)</f>
        <v>2024-01-01</v>
      </c>
      <c r="N21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13" spans="1:14">
      <c r="A213">
        <v>212</v>
      </c>
      <c r="B213" s="1" t="d">
        <v>2023-06-09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t="str">
        <f>TEXT(SalesData[[#This Row],[Date]],"yyyy-mm")</f>
        <v>2023-06</v>
      </c>
      <c r="K213">
        <f>YEAR(SalesData[[#This Row],[Date]])</f>
        <v>2023</v>
      </c>
      <c r="L213" t="str">
        <f>"Q"&amp;ROUNDUP(MONTH(SalesData[[#This Row],[Date]])/3,0)</f>
        <v>Q2</v>
      </c>
      <c r="M213" s="1" t="d">
        <f>DATE(YEAR(SalesData[[#This Row],[Date]]),MONTH(SalesData[[#This Row],[Date]]),1)</f>
        <v>2023-06-01</v>
      </c>
      <c r="N21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14" spans="1:14">
      <c r="A214">
        <v>213</v>
      </c>
      <c r="B214" s="1" t="d">
        <v>2023-07-24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t="str">
        <f>TEXT(SalesData[[#This Row],[Date]],"yyyy-mm")</f>
        <v>2023-07</v>
      </c>
      <c r="K214">
        <f>YEAR(SalesData[[#This Row],[Date]])</f>
        <v>2023</v>
      </c>
      <c r="L214" t="str">
        <f>"Q"&amp;ROUNDUP(MONTH(SalesData[[#This Row],[Date]])/3,0)</f>
        <v>Q3</v>
      </c>
      <c r="M214" s="1" t="d">
        <f>DATE(YEAR(SalesData[[#This Row],[Date]]),MONTH(SalesData[[#This Row],[Date]]),1)</f>
        <v>2023-07-01</v>
      </c>
      <c r="N21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15" spans="1:14">
      <c r="A215">
        <v>214</v>
      </c>
      <c r="B215" s="1" t="d">
        <v>2023-12-10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t="str">
        <f>TEXT(SalesData[[#This Row],[Date]],"yyyy-mm")</f>
        <v>2023-12</v>
      </c>
      <c r="K215">
        <f>YEAR(SalesData[[#This Row],[Date]])</f>
        <v>2023</v>
      </c>
      <c r="L215" t="str">
        <f>"Q"&amp;ROUNDUP(MONTH(SalesData[[#This Row],[Date]])/3,0)</f>
        <v>Q4</v>
      </c>
      <c r="M215" s="1" t="d">
        <f>DATE(YEAR(SalesData[[#This Row],[Date]]),MONTH(SalesData[[#This Row],[Date]]),1)</f>
        <v>2023-12-01</v>
      </c>
      <c r="N21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16" spans="1:14">
      <c r="A216">
        <v>215</v>
      </c>
      <c r="B216" s="1" t="d">
        <v>2023-11-29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t="str">
        <f>TEXT(SalesData[[#This Row],[Date]],"yyyy-mm")</f>
        <v>2023-11</v>
      </c>
      <c r="K216">
        <f>YEAR(SalesData[[#This Row],[Date]])</f>
        <v>2023</v>
      </c>
      <c r="L216" t="str">
        <f>"Q"&amp;ROUNDUP(MONTH(SalesData[[#This Row],[Date]])/3,0)</f>
        <v>Q4</v>
      </c>
      <c r="M216" s="1" t="d">
        <f>DATE(YEAR(SalesData[[#This Row],[Date]]),MONTH(SalesData[[#This Row],[Date]]),1)</f>
        <v>2023-11-01</v>
      </c>
      <c r="N21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17" spans="1:14">
      <c r="A217">
        <v>216</v>
      </c>
      <c r="B217" s="1" t="d">
        <v>2023-07-11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t="str">
        <f>TEXT(SalesData[[#This Row],[Date]],"yyyy-mm")</f>
        <v>2023-07</v>
      </c>
      <c r="K217">
        <f>YEAR(SalesData[[#This Row],[Date]])</f>
        <v>2023</v>
      </c>
      <c r="L217" t="str">
        <f>"Q"&amp;ROUNDUP(MONTH(SalesData[[#This Row],[Date]])/3,0)</f>
        <v>Q3</v>
      </c>
      <c r="M217" s="1" t="d">
        <f>DATE(YEAR(SalesData[[#This Row],[Date]]),MONTH(SalesData[[#This Row],[Date]]),1)</f>
        <v>2023-07-01</v>
      </c>
      <c r="N21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18" spans="1:14">
      <c r="A218">
        <v>217</v>
      </c>
      <c r="B218" s="1" t="d">
        <v>2023-08-13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t="str">
        <f>TEXT(SalesData[[#This Row],[Date]],"yyyy-mm")</f>
        <v>2023-08</v>
      </c>
      <c r="K218">
        <f>YEAR(SalesData[[#This Row],[Date]])</f>
        <v>2023</v>
      </c>
      <c r="L218" t="str">
        <f>"Q"&amp;ROUNDUP(MONTH(SalesData[[#This Row],[Date]])/3,0)</f>
        <v>Q3</v>
      </c>
      <c r="M218" s="1" t="d">
        <f>DATE(YEAR(SalesData[[#This Row],[Date]]),MONTH(SalesData[[#This Row],[Date]]),1)</f>
        <v>2023-08-01</v>
      </c>
      <c r="N21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19" spans="1:14">
      <c r="A219">
        <v>218</v>
      </c>
      <c r="B219" s="1" t="d">
        <v>2023-09-22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t="str">
        <f>TEXT(SalesData[[#This Row],[Date]],"yyyy-mm")</f>
        <v>2023-09</v>
      </c>
      <c r="K219">
        <f>YEAR(SalesData[[#This Row],[Date]])</f>
        <v>2023</v>
      </c>
      <c r="L219" t="str">
        <f>"Q"&amp;ROUNDUP(MONTH(SalesData[[#This Row],[Date]])/3,0)</f>
        <v>Q3</v>
      </c>
      <c r="M219" s="1" t="d">
        <f>DATE(YEAR(SalesData[[#This Row],[Date]]),MONTH(SalesData[[#This Row],[Date]]),1)</f>
        <v>2023-09-01</v>
      </c>
      <c r="N21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0" spans="1:14">
      <c r="A220">
        <v>219</v>
      </c>
      <c r="B220" s="1" t="d">
        <v>2023-08-20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t="str">
        <f>TEXT(SalesData[[#This Row],[Date]],"yyyy-mm")</f>
        <v>2023-08</v>
      </c>
      <c r="K220">
        <f>YEAR(SalesData[[#This Row],[Date]])</f>
        <v>2023</v>
      </c>
      <c r="L220" t="str">
        <f>"Q"&amp;ROUNDUP(MONTH(SalesData[[#This Row],[Date]])/3,0)</f>
        <v>Q3</v>
      </c>
      <c r="M220" s="1" t="d">
        <f>DATE(YEAR(SalesData[[#This Row],[Date]]),MONTH(SalesData[[#This Row],[Date]]),1)</f>
        <v>2023-08-01</v>
      </c>
      <c r="N22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1" spans="1:14">
      <c r="A221">
        <v>220</v>
      </c>
      <c r="B221" s="1" t="d">
        <v>2023-03-03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t="str">
        <f>TEXT(SalesData[[#This Row],[Date]],"yyyy-mm")</f>
        <v>2023-03</v>
      </c>
      <c r="K221">
        <f>YEAR(SalesData[[#This Row],[Date]])</f>
        <v>2023</v>
      </c>
      <c r="L221" t="str">
        <f>"Q"&amp;ROUNDUP(MONTH(SalesData[[#This Row],[Date]])/3,0)</f>
        <v>Q1</v>
      </c>
      <c r="M221" s="1" t="d">
        <f>DATE(YEAR(SalesData[[#This Row],[Date]]),MONTH(SalesData[[#This Row],[Date]]),1)</f>
        <v>2023-03-01</v>
      </c>
      <c r="N22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2" spans="1:14">
      <c r="A222">
        <v>221</v>
      </c>
      <c r="B222" s="1" t="d">
        <v>2023-05-07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t="str">
        <f>TEXT(SalesData[[#This Row],[Date]],"yyyy-mm")</f>
        <v>2023-05</v>
      </c>
      <c r="K222">
        <f>YEAR(SalesData[[#This Row],[Date]])</f>
        <v>2023</v>
      </c>
      <c r="L222" t="str">
        <f>"Q"&amp;ROUNDUP(MONTH(SalesData[[#This Row],[Date]])/3,0)</f>
        <v>Q2</v>
      </c>
      <c r="M222" s="1" t="d">
        <f>DATE(YEAR(SalesData[[#This Row],[Date]]),MONTH(SalesData[[#This Row],[Date]]),1)</f>
        <v>2023-05-01</v>
      </c>
      <c r="N22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23" spans="1:14">
      <c r="A223">
        <v>222</v>
      </c>
      <c r="B223" s="1" t="d">
        <v>2023-04-26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t="str">
        <f>TEXT(SalesData[[#This Row],[Date]],"yyyy-mm")</f>
        <v>2023-04</v>
      </c>
      <c r="K223">
        <f>YEAR(SalesData[[#This Row],[Date]])</f>
        <v>2023</v>
      </c>
      <c r="L223" t="str">
        <f>"Q"&amp;ROUNDUP(MONTH(SalesData[[#This Row],[Date]])/3,0)</f>
        <v>Q2</v>
      </c>
      <c r="M223" s="1" t="d">
        <f>DATE(YEAR(SalesData[[#This Row],[Date]]),MONTH(SalesData[[#This Row],[Date]]),1)</f>
        <v>2023-04-01</v>
      </c>
      <c r="N22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4" spans="1:14">
      <c r="A224">
        <v>223</v>
      </c>
      <c r="B224" s="1" t="d">
        <v>2023-02-02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t="str">
        <f>TEXT(SalesData[[#This Row],[Date]],"yyyy-mm")</f>
        <v>2023-02</v>
      </c>
      <c r="K224">
        <f>YEAR(SalesData[[#This Row],[Date]])</f>
        <v>2023</v>
      </c>
      <c r="L224" t="str">
        <f>"Q"&amp;ROUNDUP(MONTH(SalesData[[#This Row],[Date]])/3,0)</f>
        <v>Q1</v>
      </c>
      <c r="M224" s="1" t="d">
        <f>DATE(YEAR(SalesData[[#This Row],[Date]]),MONTH(SalesData[[#This Row],[Date]]),1)</f>
        <v>2023-02-01</v>
      </c>
      <c r="N22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5" spans="1:14">
      <c r="A225">
        <v>224</v>
      </c>
      <c r="B225" s="1" t="d">
        <v>2023-06-23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t="str">
        <f>TEXT(SalesData[[#This Row],[Date]],"yyyy-mm")</f>
        <v>2023-06</v>
      </c>
      <c r="K225">
        <f>YEAR(SalesData[[#This Row],[Date]])</f>
        <v>2023</v>
      </c>
      <c r="L225" t="str">
        <f>"Q"&amp;ROUNDUP(MONTH(SalesData[[#This Row],[Date]])/3,0)</f>
        <v>Q2</v>
      </c>
      <c r="M225" s="1" t="d">
        <f>DATE(YEAR(SalesData[[#This Row],[Date]]),MONTH(SalesData[[#This Row],[Date]]),1)</f>
        <v>2023-06-01</v>
      </c>
      <c r="N22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26" spans="1:14">
      <c r="A226">
        <v>225</v>
      </c>
      <c r="B226" s="1" t="d">
        <v>2023-01-11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t="str">
        <f>TEXT(SalesData[[#This Row],[Date]],"yyyy-mm")</f>
        <v>2023-01</v>
      </c>
      <c r="K226">
        <f>YEAR(SalesData[[#This Row],[Date]])</f>
        <v>2023</v>
      </c>
      <c r="L226" t="str">
        <f>"Q"&amp;ROUNDUP(MONTH(SalesData[[#This Row],[Date]])/3,0)</f>
        <v>Q1</v>
      </c>
      <c r="M226" s="1" t="d">
        <f>DATE(YEAR(SalesData[[#This Row],[Date]]),MONTH(SalesData[[#This Row],[Date]]),1)</f>
        <v>2023-01-01</v>
      </c>
      <c r="N22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7" spans="1:14">
      <c r="A227">
        <v>226</v>
      </c>
      <c r="B227" s="1" t="d">
        <v>2023-10-29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t="str">
        <f>TEXT(SalesData[[#This Row],[Date]],"yyyy-mm")</f>
        <v>2023-10</v>
      </c>
      <c r="K227">
        <f>YEAR(SalesData[[#This Row],[Date]])</f>
        <v>2023</v>
      </c>
      <c r="L227" t="str">
        <f>"Q"&amp;ROUNDUP(MONTH(SalesData[[#This Row],[Date]])/3,0)</f>
        <v>Q4</v>
      </c>
      <c r="M227" s="1" t="d">
        <f>DATE(YEAR(SalesData[[#This Row],[Date]]),MONTH(SalesData[[#This Row],[Date]]),1)</f>
        <v>2023-10-01</v>
      </c>
      <c r="N22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28" spans="1:14">
      <c r="A228">
        <v>227</v>
      </c>
      <c r="B228" s="1" t="d">
        <v>2023-10-11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t="str">
        <f>TEXT(SalesData[[#This Row],[Date]],"yyyy-mm")</f>
        <v>2023-10</v>
      </c>
      <c r="K228">
        <f>YEAR(SalesData[[#This Row],[Date]])</f>
        <v>2023</v>
      </c>
      <c r="L228" t="str">
        <f>"Q"&amp;ROUNDUP(MONTH(SalesData[[#This Row],[Date]])/3,0)</f>
        <v>Q4</v>
      </c>
      <c r="M228" s="1" t="d">
        <f>DATE(YEAR(SalesData[[#This Row],[Date]]),MONTH(SalesData[[#This Row],[Date]]),1)</f>
        <v>2023-10-01</v>
      </c>
      <c r="N22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29" spans="1:14">
      <c r="A229">
        <v>228</v>
      </c>
      <c r="B229" s="1" t="d">
        <v>2023-04-28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t="str">
        <f>TEXT(SalesData[[#This Row],[Date]],"yyyy-mm")</f>
        <v>2023-04</v>
      </c>
      <c r="K229">
        <f>YEAR(SalesData[[#This Row],[Date]])</f>
        <v>2023</v>
      </c>
      <c r="L229" t="str">
        <f>"Q"&amp;ROUNDUP(MONTH(SalesData[[#This Row],[Date]])/3,0)</f>
        <v>Q2</v>
      </c>
      <c r="M229" s="1" t="d">
        <f>DATE(YEAR(SalesData[[#This Row],[Date]]),MONTH(SalesData[[#This Row],[Date]]),1)</f>
        <v>2023-04-01</v>
      </c>
      <c r="N22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0" spans="1:14">
      <c r="A230">
        <v>229</v>
      </c>
      <c r="B230" s="1" t="d">
        <v>2023-10-29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t="str">
        <f>TEXT(SalesData[[#This Row],[Date]],"yyyy-mm")</f>
        <v>2023-10</v>
      </c>
      <c r="K230">
        <f>YEAR(SalesData[[#This Row],[Date]])</f>
        <v>2023</v>
      </c>
      <c r="L230" t="str">
        <f>"Q"&amp;ROUNDUP(MONTH(SalesData[[#This Row],[Date]])/3,0)</f>
        <v>Q4</v>
      </c>
      <c r="M230" s="1" t="d">
        <f>DATE(YEAR(SalesData[[#This Row],[Date]]),MONTH(SalesData[[#This Row],[Date]]),1)</f>
        <v>2023-10-01</v>
      </c>
      <c r="N23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1" spans="1:14">
      <c r="A231">
        <v>230</v>
      </c>
      <c r="B231" s="1" t="d">
        <v>2023-04-23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t="str">
        <f>TEXT(SalesData[[#This Row],[Date]],"yyyy-mm")</f>
        <v>2023-04</v>
      </c>
      <c r="K231">
        <f>YEAR(SalesData[[#This Row],[Date]])</f>
        <v>2023</v>
      </c>
      <c r="L231" t="str">
        <f>"Q"&amp;ROUNDUP(MONTH(SalesData[[#This Row],[Date]])/3,0)</f>
        <v>Q2</v>
      </c>
      <c r="M231" s="1" t="d">
        <f>DATE(YEAR(SalesData[[#This Row],[Date]]),MONTH(SalesData[[#This Row],[Date]]),1)</f>
        <v>2023-04-01</v>
      </c>
      <c r="N23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2" spans="1:14">
      <c r="A232">
        <v>231</v>
      </c>
      <c r="B232" s="1" t="d">
        <v>2023-01-04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t="str">
        <f>TEXT(SalesData[[#This Row],[Date]],"yyyy-mm")</f>
        <v>2023-01</v>
      </c>
      <c r="K232">
        <f>YEAR(SalesData[[#This Row],[Date]])</f>
        <v>2023</v>
      </c>
      <c r="L232" t="str">
        <f>"Q"&amp;ROUNDUP(MONTH(SalesData[[#This Row],[Date]])/3,0)</f>
        <v>Q1</v>
      </c>
      <c r="M232" s="1" t="d">
        <f>DATE(YEAR(SalesData[[#This Row],[Date]]),MONTH(SalesData[[#This Row],[Date]]),1)</f>
        <v>2023-01-01</v>
      </c>
      <c r="N23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33" spans="1:14">
      <c r="A233">
        <v>232</v>
      </c>
      <c r="B233" s="1" t="d">
        <v>2023-02-06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t="str">
        <f>TEXT(SalesData[[#This Row],[Date]],"yyyy-mm")</f>
        <v>2023-02</v>
      </c>
      <c r="K233">
        <f>YEAR(SalesData[[#This Row],[Date]])</f>
        <v>2023</v>
      </c>
      <c r="L233" t="str">
        <f>"Q"&amp;ROUNDUP(MONTH(SalesData[[#This Row],[Date]])/3,0)</f>
        <v>Q1</v>
      </c>
      <c r="M233" s="1" t="d">
        <f>DATE(YEAR(SalesData[[#This Row],[Date]]),MONTH(SalesData[[#This Row],[Date]]),1)</f>
        <v>2023-02-01</v>
      </c>
      <c r="N23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34" spans="1:14">
      <c r="A234">
        <v>233</v>
      </c>
      <c r="B234" s="1" t="d">
        <v>2023-12-29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t="str">
        <f>TEXT(SalesData[[#This Row],[Date]],"yyyy-mm")</f>
        <v>2023-12</v>
      </c>
      <c r="K234">
        <f>YEAR(SalesData[[#This Row],[Date]])</f>
        <v>2023</v>
      </c>
      <c r="L234" t="str">
        <f>"Q"&amp;ROUNDUP(MONTH(SalesData[[#This Row],[Date]])/3,0)</f>
        <v>Q4</v>
      </c>
      <c r="M234" s="1" t="d">
        <f>DATE(YEAR(SalesData[[#This Row],[Date]]),MONTH(SalesData[[#This Row],[Date]]),1)</f>
        <v>2023-12-01</v>
      </c>
      <c r="N23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5" spans="1:14">
      <c r="A235">
        <v>234</v>
      </c>
      <c r="B235" s="1" t="d">
        <v>2023-11-20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t="str">
        <f>TEXT(SalesData[[#This Row],[Date]],"yyyy-mm")</f>
        <v>2023-11</v>
      </c>
      <c r="K235">
        <f>YEAR(SalesData[[#This Row],[Date]])</f>
        <v>2023</v>
      </c>
      <c r="L235" t="str">
        <f>"Q"&amp;ROUNDUP(MONTH(SalesData[[#This Row],[Date]])/3,0)</f>
        <v>Q4</v>
      </c>
      <c r="M235" s="1" t="d">
        <f>DATE(YEAR(SalesData[[#This Row],[Date]]),MONTH(SalesData[[#This Row],[Date]]),1)</f>
        <v>2023-11-01</v>
      </c>
      <c r="N23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6" spans="1:14">
      <c r="A236">
        <v>235</v>
      </c>
      <c r="B236" s="1" t="d">
        <v>2023-01-31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t="str">
        <f>TEXT(SalesData[[#This Row],[Date]],"yyyy-mm")</f>
        <v>2023-01</v>
      </c>
      <c r="K236">
        <f>YEAR(SalesData[[#This Row],[Date]])</f>
        <v>2023</v>
      </c>
      <c r="L236" t="str">
        <f>"Q"&amp;ROUNDUP(MONTH(SalesData[[#This Row],[Date]])/3,0)</f>
        <v>Q1</v>
      </c>
      <c r="M236" s="1" t="d">
        <f>DATE(YEAR(SalesData[[#This Row],[Date]]),MONTH(SalesData[[#This Row],[Date]]),1)</f>
        <v>2023-01-01</v>
      </c>
      <c r="N23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37" spans="1:14">
      <c r="A237">
        <v>236</v>
      </c>
      <c r="B237" s="1" t="d">
        <v>2023-04-28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t="str">
        <f>TEXT(SalesData[[#This Row],[Date]],"yyyy-mm")</f>
        <v>2023-04</v>
      </c>
      <c r="K237">
        <f>YEAR(SalesData[[#This Row],[Date]])</f>
        <v>2023</v>
      </c>
      <c r="L237" t="str">
        <f>"Q"&amp;ROUNDUP(MONTH(SalesData[[#This Row],[Date]])/3,0)</f>
        <v>Q2</v>
      </c>
      <c r="M237" s="1" t="d">
        <f>DATE(YEAR(SalesData[[#This Row],[Date]]),MONTH(SalesData[[#This Row],[Date]]),1)</f>
        <v>2023-04-01</v>
      </c>
      <c r="N2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8" spans="1:14">
      <c r="A238">
        <v>237</v>
      </c>
      <c r="B238" s="1" t="d">
        <v>2023-02-04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t="str">
        <f>TEXT(SalesData[[#This Row],[Date]],"yyyy-mm")</f>
        <v>2023-02</v>
      </c>
      <c r="K238">
        <f>YEAR(SalesData[[#This Row],[Date]])</f>
        <v>2023</v>
      </c>
      <c r="L238" t="str">
        <f>"Q"&amp;ROUNDUP(MONTH(SalesData[[#This Row],[Date]])/3,0)</f>
        <v>Q1</v>
      </c>
      <c r="M238" s="1" t="d">
        <f>DATE(YEAR(SalesData[[#This Row],[Date]]),MONTH(SalesData[[#This Row],[Date]]),1)</f>
        <v>2023-02-01</v>
      </c>
      <c r="N23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39" spans="1:14">
      <c r="A239">
        <v>238</v>
      </c>
      <c r="B239" s="1" t="d">
        <v>2023-01-17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t="str">
        <f>TEXT(SalesData[[#This Row],[Date]],"yyyy-mm")</f>
        <v>2023-01</v>
      </c>
      <c r="K239">
        <f>YEAR(SalesData[[#This Row],[Date]])</f>
        <v>2023</v>
      </c>
      <c r="L239" t="str">
        <f>"Q"&amp;ROUNDUP(MONTH(SalesData[[#This Row],[Date]])/3,0)</f>
        <v>Q1</v>
      </c>
      <c r="M239" s="1" t="d">
        <f>DATE(YEAR(SalesData[[#This Row],[Date]]),MONTH(SalesData[[#This Row],[Date]]),1)</f>
        <v>2023-01-01</v>
      </c>
      <c r="N23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40" spans="1:14">
      <c r="A240">
        <v>239</v>
      </c>
      <c r="B240" s="1" t="d">
        <v>2023-06-19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t="str">
        <f>TEXT(SalesData[[#This Row],[Date]],"yyyy-mm")</f>
        <v>2023-06</v>
      </c>
      <c r="K240">
        <f>YEAR(SalesData[[#This Row],[Date]])</f>
        <v>2023</v>
      </c>
      <c r="L240" t="str">
        <f>"Q"&amp;ROUNDUP(MONTH(SalesData[[#This Row],[Date]])/3,0)</f>
        <v>Q2</v>
      </c>
      <c r="M240" s="1" t="d">
        <f>DATE(YEAR(SalesData[[#This Row],[Date]]),MONTH(SalesData[[#This Row],[Date]]),1)</f>
        <v>2023-06-01</v>
      </c>
      <c r="N24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41" spans="1:14">
      <c r="A241">
        <v>240</v>
      </c>
      <c r="B241" s="1" t="d">
        <v>2023-02-06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t="str">
        <f>TEXT(SalesData[[#This Row],[Date]],"yyyy-mm")</f>
        <v>2023-02</v>
      </c>
      <c r="K241">
        <f>YEAR(SalesData[[#This Row],[Date]])</f>
        <v>2023</v>
      </c>
      <c r="L241" t="str">
        <f>"Q"&amp;ROUNDUP(MONTH(SalesData[[#This Row],[Date]])/3,0)</f>
        <v>Q1</v>
      </c>
      <c r="M241" s="1" t="d">
        <f>DATE(YEAR(SalesData[[#This Row],[Date]]),MONTH(SalesData[[#This Row],[Date]]),1)</f>
        <v>2023-02-01</v>
      </c>
      <c r="N24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42" spans="1:14">
      <c r="A242">
        <v>241</v>
      </c>
      <c r="B242" s="1" t="d">
        <v>2023-09-21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t="str">
        <f>TEXT(SalesData[[#This Row],[Date]],"yyyy-mm")</f>
        <v>2023-09</v>
      </c>
      <c r="K242">
        <f>YEAR(SalesData[[#This Row],[Date]])</f>
        <v>2023</v>
      </c>
      <c r="L242" t="str">
        <f>"Q"&amp;ROUNDUP(MONTH(SalesData[[#This Row],[Date]])/3,0)</f>
        <v>Q3</v>
      </c>
      <c r="M242" s="1" t="d">
        <f>DATE(YEAR(SalesData[[#This Row],[Date]]),MONTH(SalesData[[#This Row],[Date]]),1)</f>
        <v>2023-09-01</v>
      </c>
      <c r="N24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43" spans="1:14">
      <c r="A243">
        <v>242</v>
      </c>
      <c r="B243" s="1" t="d">
        <v>2023-05-02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t="str">
        <f>TEXT(SalesData[[#This Row],[Date]],"yyyy-mm")</f>
        <v>2023-05</v>
      </c>
      <c r="K243">
        <f>YEAR(SalesData[[#This Row],[Date]])</f>
        <v>2023</v>
      </c>
      <c r="L243" t="str">
        <f>"Q"&amp;ROUNDUP(MONTH(SalesData[[#This Row],[Date]])/3,0)</f>
        <v>Q2</v>
      </c>
      <c r="M243" s="1" t="d">
        <f>DATE(YEAR(SalesData[[#This Row],[Date]]),MONTH(SalesData[[#This Row],[Date]]),1)</f>
        <v>2023-05-01</v>
      </c>
      <c r="N24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44" spans="1:14">
      <c r="A244">
        <v>243</v>
      </c>
      <c r="B244" s="1" t="d">
        <v>2023-05-23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t="str">
        <f>TEXT(SalesData[[#This Row],[Date]],"yyyy-mm")</f>
        <v>2023-05</v>
      </c>
      <c r="K244">
        <f>YEAR(SalesData[[#This Row],[Date]])</f>
        <v>2023</v>
      </c>
      <c r="L244" t="str">
        <f>"Q"&amp;ROUNDUP(MONTH(SalesData[[#This Row],[Date]])/3,0)</f>
        <v>Q2</v>
      </c>
      <c r="M244" s="1" t="d">
        <f>DATE(YEAR(SalesData[[#This Row],[Date]]),MONTH(SalesData[[#This Row],[Date]]),1)</f>
        <v>2023-05-01</v>
      </c>
      <c r="N24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45" spans="1:14">
      <c r="A245">
        <v>244</v>
      </c>
      <c r="B245" s="1" t="d">
        <v>2023-12-09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t="str">
        <f>TEXT(SalesData[[#This Row],[Date]],"yyyy-mm")</f>
        <v>2023-12</v>
      </c>
      <c r="K245">
        <f>YEAR(SalesData[[#This Row],[Date]])</f>
        <v>2023</v>
      </c>
      <c r="L245" t="str">
        <f>"Q"&amp;ROUNDUP(MONTH(SalesData[[#This Row],[Date]])/3,0)</f>
        <v>Q4</v>
      </c>
      <c r="M245" s="1" t="d">
        <f>DATE(YEAR(SalesData[[#This Row],[Date]]),MONTH(SalesData[[#This Row],[Date]]),1)</f>
        <v>2023-12-01</v>
      </c>
      <c r="N24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46" spans="1:14">
      <c r="A246">
        <v>245</v>
      </c>
      <c r="B246" s="1" t="d">
        <v>2023-09-06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t="str">
        <f>TEXT(SalesData[[#This Row],[Date]],"yyyy-mm")</f>
        <v>2023-09</v>
      </c>
      <c r="K246">
        <f>YEAR(SalesData[[#This Row],[Date]])</f>
        <v>2023</v>
      </c>
      <c r="L246" t="str">
        <f>"Q"&amp;ROUNDUP(MONTH(SalesData[[#This Row],[Date]])/3,0)</f>
        <v>Q3</v>
      </c>
      <c r="M246" s="1" t="d">
        <f>DATE(YEAR(SalesData[[#This Row],[Date]]),MONTH(SalesData[[#This Row],[Date]]),1)</f>
        <v>2023-09-01</v>
      </c>
      <c r="N24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47" spans="1:14">
      <c r="A247">
        <v>246</v>
      </c>
      <c r="B247" s="1" t="d">
        <v>2023-04-20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t="str">
        <f>TEXT(SalesData[[#This Row],[Date]],"yyyy-mm")</f>
        <v>2023-04</v>
      </c>
      <c r="K247">
        <f>YEAR(SalesData[[#This Row],[Date]])</f>
        <v>2023</v>
      </c>
      <c r="L247" t="str">
        <f>"Q"&amp;ROUNDUP(MONTH(SalesData[[#This Row],[Date]])/3,0)</f>
        <v>Q2</v>
      </c>
      <c r="M247" s="1" t="d">
        <f>DATE(YEAR(SalesData[[#This Row],[Date]]),MONTH(SalesData[[#This Row],[Date]]),1)</f>
        <v>2023-04-01</v>
      </c>
      <c r="N24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48" spans="1:14">
      <c r="A248">
        <v>247</v>
      </c>
      <c r="B248" s="1" t="d">
        <v>2023-10-04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t="str">
        <f>TEXT(SalesData[[#This Row],[Date]],"yyyy-mm")</f>
        <v>2023-10</v>
      </c>
      <c r="K248">
        <f>YEAR(SalesData[[#This Row],[Date]])</f>
        <v>2023</v>
      </c>
      <c r="L248" t="str">
        <f>"Q"&amp;ROUNDUP(MONTH(SalesData[[#This Row],[Date]])/3,0)</f>
        <v>Q4</v>
      </c>
      <c r="M248" s="1" t="d">
        <f>DATE(YEAR(SalesData[[#This Row],[Date]]),MONTH(SalesData[[#This Row],[Date]]),1)</f>
        <v>2023-10-01</v>
      </c>
      <c r="N24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49" spans="1:14">
      <c r="A249">
        <v>248</v>
      </c>
      <c r="B249" s="1" t="d">
        <v>2023-03-09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t="str">
        <f>TEXT(SalesData[[#This Row],[Date]],"yyyy-mm")</f>
        <v>2023-03</v>
      </c>
      <c r="K249">
        <f>YEAR(SalesData[[#This Row],[Date]])</f>
        <v>2023</v>
      </c>
      <c r="L249" t="str">
        <f>"Q"&amp;ROUNDUP(MONTH(SalesData[[#This Row],[Date]])/3,0)</f>
        <v>Q1</v>
      </c>
      <c r="M249" s="1" t="d">
        <f>DATE(YEAR(SalesData[[#This Row],[Date]]),MONTH(SalesData[[#This Row],[Date]]),1)</f>
        <v>2023-03-01</v>
      </c>
      <c r="N24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50" spans="1:14">
      <c r="A250">
        <v>249</v>
      </c>
      <c r="B250" s="1" t="d">
        <v>2023-10-20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t="str">
        <f>TEXT(SalesData[[#This Row],[Date]],"yyyy-mm")</f>
        <v>2023-10</v>
      </c>
      <c r="K250">
        <f>YEAR(SalesData[[#This Row],[Date]])</f>
        <v>2023</v>
      </c>
      <c r="L250" t="str">
        <f>"Q"&amp;ROUNDUP(MONTH(SalesData[[#This Row],[Date]])/3,0)</f>
        <v>Q4</v>
      </c>
      <c r="M250" s="1" t="d">
        <f>DATE(YEAR(SalesData[[#This Row],[Date]]),MONTH(SalesData[[#This Row],[Date]]),1)</f>
        <v>2023-10-01</v>
      </c>
      <c r="N25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51" spans="1:14">
      <c r="A251">
        <v>250</v>
      </c>
      <c r="B251" s="1" t="d">
        <v>2023-10-23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t="str">
        <f>TEXT(SalesData[[#This Row],[Date]],"yyyy-mm")</f>
        <v>2023-10</v>
      </c>
      <c r="K251">
        <f>YEAR(SalesData[[#This Row],[Date]])</f>
        <v>2023</v>
      </c>
      <c r="L251" t="str">
        <f>"Q"&amp;ROUNDUP(MONTH(SalesData[[#This Row],[Date]])/3,0)</f>
        <v>Q4</v>
      </c>
      <c r="M251" s="1" t="d">
        <f>DATE(YEAR(SalesData[[#This Row],[Date]]),MONTH(SalesData[[#This Row],[Date]]),1)</f>
        <v>2023-10-01</v>
      </c>
      <c r="N25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52" spans="1:14">
      <c r="A252">
        <v>251</v>
      </c>
      <c r="B252" s="1" t="d">
        <v>2023-08-31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t="str">
        <f>TEXT(SalesData[[#This Row],[Date]],"yyyy-mm")</f>
        <v>2023-08</v>
      </c>
      <c r="K252">
        <f>YEAR(SalesData[[#This Row],[Date]])</f>
        <v>2023</v>
      </c>
      <c r="L252" t="str">
        <f>"Q"&amp;ROUNDUP(MONTH(SalesData[[#This Row],[Date]])/3,0)</f>
        <v>Q3</v>
      </c>
      <c r="M252" s="1" t="d">
        <f>DATE(YEAR(SalesData[[#This Row],[Date]]),MONTH(SalesData[[#This Row],[Date]]),1)</f>
        <v>2023-08-01</v>
      </c>
      <c r="N25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53" spans="1:14">
      <c r="A253">
        <v>252</v>
      </c>
      <c r="B253" s="1" t="d">
        <v>2023-05-05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t="str">
        <f>TEXT(SalesData[[#This Row],[Date]],"yyyy-mm")</f>
        <v>2023-05</v>
      </c>
      <c r="K253">
        <f>YEAR(SalesData[[#This Row],[Date]])</f>
        <v>2023</v>
      </c>
      <c r="L253" t="str">
        <f>"Q"&amp;ROUNDUP(MONTH(SalesData[[#This Row],[Date]])/3,0)</f>
        <v>Q2</v>
      </c>
      <c r="M253" s="1" t="d">
        <f>DATE(YEAR(SalesData[[#This Row],[Date]]),MONTH(SalesData[[#This Row],[Date]]),1)</f>
        <v>2023-05-01</v>
      </c>
      <c r="N25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54" spans="1:14">
      <c r="A254">
        <v>253</v>
      </c>
      <c r="B254" s="1" t="d">
        <v>2023-08-31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t="str">
        <f>TEXT(SalesData[[#This Row],[Date]],"yyyy-mm")</f>
        <v>2023-08</v>
      </c>
      <c r="K254">
        <f>YEAR(SalesData[[#This Row],[Date]])</f>
        <v>2023</v>
      </c>
      <c r="L254" t="str">
        <f>"Q"&amp;ROUNDUP(MONTH(SalesData[[#This Row],[Date]])/3,0)</f>
        <v>Q3</v>
      </c>
      <c r="M254" s="1" t="d">
        <f>DATE(YEAR(SalesData[[#This Row],[Date]]),MONTH(SalesData[[#This Row],[Date]]),1)</f>
        <v>2023-08-01</v>
      </c>
      <c r="N25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55" spans="1:14">
      <c r="A255">
        <v>254</v>
      </c>
      <c r="B255" s="1" t="d">
        <v>2023-07-28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t="str">
        <f>TEXT(SalesData[[#This Row],[Date]],"yyyy-mm")</f>
        <v>2023-07</v>
      </c>
      <c r="K255">
        <f>YEAR(SalesData[[#This Row],[Date]])</f>
        <v>2023</v>
      </c>
      <c r="L255" t="str">
        <f>"Q"&amp;ROUNDUP(MONTH(SalesData[[#This Row],[Date]])/3,0)</f>
        <v>Q3</v>
      </c>
      <c r="M255" s="1" t="d">
        <f>DATE(YEAR(SalesData[[#This Row],[Date]]),MONTH(SalesData[[#This Row],[Date]]),1)</f>
        <v>2023-07-01</v>
      </c>
      <c r="N2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56" spans="1:14">
      <c r="A256">
        <v>255</v>
      </c>
      <c r="B256" s="1" t="d">
        <v>2023-04-08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t="str">
        <f>TEXT(SalesData[[#This Row],[Date]],"yyyy-mm")</f>
        <v>2023-04</v>
      </c>
      <c r="K256">
        <f>YEAR(SalesData[[#This Row],[Date]])</f>
        <v>2023</v>
      </c>
      <c r="L256" t="str">
        <f>"Q"&amp;ROUNDUP(MONTH(SalesData[[#This Row],[Date]])/3,0)</f>
        <v>Q2</v>
      </c>
      <c r="M256" s="1" t="d">
        <f>DATE(YEAR(SalesData[[#This Row],[Date]]),MONTH(SalesData[[#This Row],[Date]]),1)</f>
        <v>2023-04-01</v>
      </c>
      <c r="N25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57" spans="1:14">
      <c r="A257">
        <v>256</v>
      </c>
      <c r="B257" s="1" t="d">
        <v>2023-02-18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t="str">
        <f>TEXT(SalesData[[#This Row],[Date]],"yyyy-mm")</f>
        <v>2023-02</v>
      </c>
      <c r="K257">
        <f>YEAR(SalesData[[#This Row],[Date]])</f>
        <v>2023</v>
      </c>
      <c r="L257" t="str">
        <f>"Q"&amp;ROUNDUP(MONTH(SalesData[[#This Row],[Date]])/3,0)</f>
        <v>Q1</v>
      </c>
      <c r="M257" s="1" t="d">
        <f>DATE(YEAR(SalesData[[#This Row],[Date]]),MONTH(SalesData[[#This Row],[Date]]),1)</f>
        <v>2023-02-01</v>
      </c>
      <c r="N25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58" spans="1:14">
      <c r="A258">
        <v>257</v>
      </c>
      <c r="B258" s="1" t="d">
        <v>2023-02-19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t="str">
        <f>TEXT(SalesData[[#This Row],[Date]],"yyyy-mm")</f>
        <v>2023-02</v>
      </c>
      <c r="K258">
        <f>YEAR(SalesData[[#This Row],[Date]])</f>
        <v>2023</v>
      </c>
      <c r="L258" t="str">
        <f>"Q"&amp;ROUNDUP(MONTH(SalesData[[#This Row],[Date]])/3,0)</f>
        <v>Q1</v>
      </c>
      <c r="M258" s="1" t="d">
        <f>DATE(YEAR(SalesData[[#This Row],[Date]]),MONTH(SalesData[[#This Row],[Date]]),1)</f>
        <v>2023-02-01</v>
      </c>
      <c r="N25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259" spans="1:14">
      <c r="A259">
        <v>258</v>
      </c>
      <c r="B259" s="1" t="d">
        <v>2023-12-04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t="str">
        <f>TEXT(SalesData[[#This Row],[Date]],"yyyy-mm")</f>
        <v>2023-12</v>
      </c>
      <c r="K259">
        <f>YEAR(SalesData[[#This Row],[Date]])</f>
        <v>2023</v>
      </c>
      <c r="L259" t="str">
        <f>"Q"&amp;ROUNDUP(MONTH(SalesData[[#This Row],[Date]])/3,0)</f>
        <v>Q4</v>
      </c>
      <c r="M259" s="1" t="d">
        <f>DATE(YEAR(SalesData[[#This Row],[Date]]),MONTH(SalesData[[#This Row],[Date]]),1)</f>
        <v>2023-12-01</v>
      </c>
      <c r="N25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60" spans="1:14">
      <c r="A260">
        <v>259</v>
      </c>
      <c r="B260" s="1" t="d">
        <v>2023-08-09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t="str">
        <f>TEXT(SalesData[[#This Row],[Date]],"yyyy-mm")</f>
        <v>2023-08</v>
      </c>
      <c r="K260">
        <f>YEAR(SalesData[[#This Row],[Date]])</f>
        <v>2023</v>
      </c>
      <c r="L260" t="str">
        <f>"Q"&amp;ROUNDUP(MONTH(SalesData[[#This Row],[Date]])/3,0)</f>
        <v>Q3</v>
      </c>
      <c r="M260" s="1" t="d">
        <f>DATE(YEAR(SalesData[[#This Row],[Date]]),MONTH(SalesData[[#This Row],[Date]]),1)</f>
        <v>2023-08-01</v>
      </c>
      <c r="N26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61" spans="1:14">
      <c r="A261">
        <v>260</v>
      </c>
      <c r="B261" s="1" t="d">
        <v>2023-07-01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t="str">
        <f>TEXT(SalesData[[#This Row],[Date]],"yyyy-mm")</f>
        <v>2023-07</v>
      </c>
      <c r="K261">
        <f>YEAR(SalesData[[#This Row],[Date]])</f>
        <v>2023</v>
      </c>
      <c r="L261" t="str">
        <f>"Q"&amp;ROUNDUP(MONTH(SalesData[[#This Row],[Date]])/3,0)</f>
        <v>Q3</v>
      </c>
      <c r="M261" s="1" t="d">
        <f>DATE(YEAR(SalesData[[#This Row],[Date]]),MONTH(SalesData[[#This Row],[Date]]),1)</f>
        <v>2023-07-01</v>
      </c>
      <c r="N26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62" spans="1:14">
      <c r="A262">
        <v>261</v>
      </c>
      <c r="B262" s="1" t="d">
        <v>2023-08-05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t="str">
        <f>TEXT(SalesData[[#This Row],[Date]],"yyyy-mm")</f>
        <v>2023-08</v>
      </c>
      <c r="K262">
        <f>YEAR(SalesData[[#This Row],[Date]])</f>
        <v>2023</v>
      </c>
      <c r="L262" t="str">
        <f>"Q"&amp;ROUNDUP(MONTH(SalesData[[#This Row],[Date]])/3,0)</f>
        <v>Q3</v>
      </c>
      <c r="M262" s="1" t="d">
        <f>DATE(YEAR(SalesData[[#This Row],[Date]]),MONTH(SalesData[[#This Row],[Date]]),1)</f>
        <v>2023-08-01</v>
      </c>
      <c r="N26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63" spans="1:14">
      <c r="A263">
        <v>262</v>
      </c>
      <c r="B263" s="1" t="d">
        <v>2023-07-30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t="str">
        <f>TEXT(SalesData[[#This Row],[Date]],"yyyy-mm")</f>
        <v>2023-07</v>
      </c>
      <c r="K263">
        <f>YEAR(SalesData[[#This Row],[Date]])</f>
        <v>2023</v>
      </c>
      <c r="L263" t="str">
        <f>"Q"&amp;ROUNDUP(MONTH(SalesData[[#This Row],[Date]])/3,0)</f>
        <v>Q3</v>
      </c>
      <c r="M263" s="1" t="d">
        <f>DATE(YEAR(SalesData[[#This Row],[Date]]),MONTH(SalesData[[#This Row],[Date]]),1)</f>
        <v>2023-07-01</v>
      </c>
      <c r="N26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64" spans="1:14">
      <c r="A264">
        <v>263</v>
      </c>
      <c r="B264" s="1" t="d">
        <v>2023-08-28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t="str">
        <f>TEXT(SalesData[[#This Row],[Date]],"yyyy-mm")</f>
        <v>2023-08</v>
      </c>
      <c r="K264">
        <f>YEAR(SalesData[[#This Row],[Date]])</f>
        <v>2023</v>
      </c>
      <c r="L264" t="str">
        <f>"Q"&amp;ROUNDUP(MONTH(SalesData[[#This Row],[Date]])/3,0)</f>
        <v>Q3</v>
      </c>
      <c r="M264" s="1" t="d">
        <f>DATE(YEAR(SalesData[[#This Row],[Date]]),MONTH(SalesData[[#This Row],[Date]]),1)</f>
        <v>2023-08-01</v>
      </c>
      <c r="N26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65" spans="1:14">
      <c r="A265">
        <v>264</v>
      </c>
      <c r="B265" s="1" t="d">
        <v>2023-01-28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t="str">
        <f>TEXT(SalesData[[#This Row],[Date]],"yyyy-mm")</f>
        <v>2023-01</v>
      </c>
      <c r="K265">
        <f>YEAR(SalesData[[#This Row],[Date]])</f>
        <v>2023</v>
      </c>
      <c r="L265" t="str">
        <f>"Q"&amp;ROUNDUP(MONTH(SalesData[[#This Row],[Date]])/3,0)</f>
        <v>Q1</v>
      </c>
      <c r="M265" s="1" t="d">
        <f>DATE(YEAR(SalesData[[#This Row],[Date]]),MONTH(SalesData[[#This Row],[Date]]),1)</f>
        <v>2023-01-01</v>
      </c>
      <c r="N26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66" spans="1:14">
      <c r="A266">
        <v>265</v>
      </c>
      <c r="B266" s="1" t="d">
        <v>2023-12-11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t="str">
        <f>TEXT(SalesData[[#This Row],[Date]],"yyyy-mm")</f>
        <v>2023-12</v>
      </c>
      <c r="K266">
        <f>YEAR(SalesData[[#This Row],[Date]])</f>
        <v>2023</v>
      </c>
      <c r="L266" t="str">
        <f>"Q"&amp;ROUNDUP(MONTH(SalesData[[#This Row],[Date]])/3,0)</f>
        <v>Q4</v>
      </c>
      <c r="M266" s="1" t="d">
        <f>DATE(YEAR(SalesData[[#This Row],[Date]]),MONTH(SalesData[[#This Row],[Date]]),1)</f>
        <v>2023-12-01</v>
      </c>
      <c r="N26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67" spans="1:14">
      <c r="A267">
        <v>266</v>
      </c>
      <c r="B267" s="1" t="d">
        <v>2023-12-01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t="str">
        <f>TEXT(SalesData[[#This Row],[Date]],"yyyy-mm")</f>
        <v>2023-12</v>
      </c>
      <c r="K267">
        <f>YEAR(SalesData[[#This Row],[Date]])</f>
        <v>2023</v>
      </c>
      <c r="L267" t="str">
        <f>"Q"&amp;ROUNDUP(MONTH(SalesData[[#This Row],[Date]])/3,0)</f>
        <v>Q4</v>
      </c>
      <c r="M267" s="1" t="d">
        <f>DATE(YEAR(SalesData[[#This Row],[Date]]),MONTH(SalesData[[#This Row],[Date]]),1)</f>
        <v>2023-12-01</v>
      </c>
      <c r="N267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268" spans="1:14">
      <c r="A268">
        <v>267</v>
      </c>
      <c r="B268" s="1" t="d">
        <v>2023-11-27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t="str">
        <f>TEXT(SalesData[[#This Row],[Date]],"yyyy-mm")</f>
        <v>2023-11</v>
      </c>
      <c r="K268">
        <f>YEAR(SalesData[[#This Row],[Date]])</f>
        <v>2023</v>
      </c>
      <c r="L268" t="str">
        <f>"Q"&amp;ROUNDUP(MONTH(SalesData[[#This Row],[Date]])/3,0)</f>
        <v>Q4</v>
      </c>
      <c r="M268" s="1" t="d">
        <f>DATE(YEAR(SalesData[[#This Row],[Date]]),MONTH(SalesData[[#This Row],[Date]]),1)</f>
        <v>2023-11-01</v>
      </c>
      <c r="N26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69" spans="1:14">
      <c r="A269">
        <v>268</v>
      </c>
      <c r="B269" s="1" t="d">
        <v>2023-02-20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t="str">
        <f>TEXT(SalesData[[#This Row],[Date]],"yyyy-mm")</f>
        <v>2023-02</v>
      </c>
      <c r="K269">
        <f>YEAR(SalesData[[#This Row],[Date]])</f>
        <v>2023</v>
      </c>
      <c r="L269" t="str">
        <f>"Q"&amp;ROUNDUP(MONTH(SalesData[[#This Row],[Date]])/3,0)</f>
        <v>Q1</v>
      </c>
      <c r="M269" s="1" t="d">
        <f>DATE(YEAR(SalesData[[#This Row],[Date]]),MONTH(SalesData[[#This Row],[Date]]),1)</f>
        <v>2023-02-01</v>
      </c>
      <c r="N26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70" spans="1:14">
      <c r="A270">
        <v>269</v>
      </c>
      <c r="B270" s="1" t="d">
        <v>2023-02-01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t="str">
        <f>TEXT(SalesData[[#This Row],[Date]],"yyyy-mm")</f>
        <v>2023-02</v>
      </c>
      <c r="K270">
        <f>YEAR(SalesData[[#This Row],[Date]])</f>
        <v>2023</v>
      </c>
      <c r="L270" t="str">
        <f>"Q"&amp;ROUNDUP(MONTH(SalesData[[#This Row],[Date]])/3,0)</f>
        <v>Q1</v>
      </c>
      <c r="M270" s="1" t="d">
        <f>DATE(YEAR(SalesData[[#This Row],[Date]]),MONTH(SalesData[[#This Row],[Date]]),1)</f>
        <v>2023-02-01</v>
      </c>
      <c r="N27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71" spans="1:14">
      <c r="A271">
        <v>270</v>
      </c>
      <c r="B271" s="1" t="d">
        <v>2023-07-26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t="str">
        <f>TEXT(SalesData[[#This Row],[Date]],"yyyy-mm")</f>
        <v>2023-07</v>
      </c>
      <c r="K271">
        <f>YEAR(SalesData[[#This Row],[Date]])</f>
        <v>2023</v>
      </c>
      <c r="L271" t="str">
        <f>"Q"&amp;ROUNDUP(MONTH(SalesData[[#This Row],[Date]])/3,0)</f>
        <v>Q3</v>
      </c>
      <c r="M271" s="1" t="d">
        <f>DATE(YEAR(SalesData[[#This Row],[Date]]),MONTH(SalesData[[#This Row],[Date]]),1)</f>
        <v>2023-07-01</v>
      </c>
      <c r="N27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72" spans="1:14">
      <c r="A272">
        <v>271</v>
      </c>
      <c r="B272" s="1" t="d">
        <v>2023-06-23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t="str">
        <f>TEXT(SalesData[[#This Row],[Date]],"yyyy-mm")</f>
        <v>2023-06</v>
      </c>
      <c r="K272">
        <f>YEAR(SalesData[[#This Row],[Date]])</f>
        <v>2023</v>
      </c>
      <c r="L272" t="str">
        <f>"Q"&amp;ROUNDUP(MONTH(SalesData[[#This Row],[Date]])/3,0)</f>
        <v>Q2</v>
      </c>
      <c r="M272" s="1" t="d">
        <f>DATE(YEAR(SalesData[[#This Row],[Date]]),MONTH(SalesData[[#This Row],[Date]]),1)</f>
        <v>2023-06-01</v>
      </c>
      <c r="N27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73" spans="1:14">
      <c r="A273">
        <v>272</v>
      </c>
      <c r="B273" s="1" t="d">
        <v>2023-02-25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t="str">
        <f>TEXT(SalesData[[#This Row],[Date]],"yyyy-mm")</f>
        <v>2023-02</v>
      </c>
      <c r="K273">
        <f>YEAR(SalesData[[#This Row],[Date]])</f>
        <v>2023</v>
      </c>
      <c r="L273" t="str">
        <f>"Q"&amp;ROUNDUP(MONTH(SalesData[[#This Row],[Date]])/3,0)</f>
        <v>Q1</v>
      </c>
      <c r="M273" s="1" t="d">
        <f>DATE(YEAR(SalesData[[#This Row],[Date]]),MONTH(SalesData[[#This Row],[Date]]),1)</f>
        <v>2023-02-01</v>
      </c>
      <c r="N27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74" spans="1:14">
      <c r="A274">
        <v>273</v>
      </c>
      <c r="B274" s="1" t="d">
        <v>2023-05-08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t="str">
        <f>TEXT(SalesData[[#This Row],[Date]],"yyyy-mm")</f>
        <v>2023-05</v>
      </c>
      <c r="K274">
        <f>YEAR(SalesData[[#This Row],[Date]])</f>
        <v>2023</v>
      </c>
      <c r="L274" t="str">
        <f>"Q"&amp;ROUNDUP(MONTH(SalesData[[#This Row],[Date]])/3,0)</f>
        <v>Q2</v>
      </c>
      <c r="M274" s="1" t="d">
        <f>DATE(YEAR(SalesData[[#This Row],[Date]]),MONTH(SalesData[[#This Row],[Date]]),1)</f>
        <v>2023-05-01</v>
      </c>
      <c r="N27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75" spans="1:14">
      <c r="A275">
        <v>274</v>
      </c>
      <c r="B275" s="1" t="d">
        <v>2023-04-09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t="str">
        <f>TEXT(SalesData[[#This Row],[Date]],"yyyy-mm")</f>
        <v>2023-04</v>
      </c>
      <c r="K275">
        <f>YEAR(SalesData[[#This Row],[Date]])</f>
        <v>2023</v>
      </c>
      <c r="L275" t="str">
        <f>"Q"&amp;ROUNDUP(MONTH(SalesData[[#This Row],[Date]])/3,0)</f>
        <v>Q2</v>
      </c>
      <c r="M275" s="1" t="d">
        <f>DATE(YEAR(SalesData[[#This Row],[Date]]),MONTH(SalesData[[#This Row],[Date]]),1)</f>
        <v>2023-04-01</v>
      </c>
      <c r="N27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76" spans="1:14">
      <c r="A276">
        <v>275</v>
      </c>
      <c r="B276" s="1" t="d">
        <v>2023-04-08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t="str">
        <f>TEXT(SalesData[[#This Row],[Date]],"yyyy-mm")</f>
        <v>2023-04</v>
      </c>
      <c r="K276">
        <f>YEAR(SalesData[[#This Row],[Date]])</f>
        <v>2023</v>
      </c>
      <c r="L276" t="str">
        <f>"Q"&amp;ROUNDUP(MONTH(SalesData[[#This Row],[Date]])/3,0)</f>
        <v>Q2</v>
      </c>
      <c r="M276" s="1" t="d">
        <f>DATE(YEAR(SalesData[[#This Row],[Date]]),MONTH(SalesData[[#This Row],[Date]]),1)</f>
        <v>2023-04-01</v>
      </c>
      <c r="N27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77" spans="1:14">
      <c r="A277">
        <v>276</v>
      </c>
      <c r="B277" s="1" t="d">
        <v>2023-10-02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t="str">
        <f>TEXT(SalesData[[#This Row],[Date]],"yyyy-mm")</f>
        <v>2023-10</v>
      </c>
      <c r="K277">
        <f>YEAR(SalesData[[#This Row],[Date]])</f>
        <v>2023</v>
      </c>
      <c r="L277" t="str">
        <f>"Q"&amp;ROUNDUP(MONTH(SalesData[[#This Row],[Date]])/3,0)</f>
        <v>Q4</v>
      </c>
      <c r="M277" s="1" t="d">
        <f>DATE(YEAR(SalesData[[#This Row],[Date]]),MONTH(SalesData[[#This Row],[Date]]),1)</f>
        <v>2023-10-01</v>
      </c>
      <c r="N27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78" spans="1:14">
      <c r="A278">
        <v>277</v>
      </c>
      <c r="B278" s="1" t="d">
        <v>2023-08-18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t="str">
        <f>TEXT(SalesData[[#This Row],[Date]],"yyyy-mm")</f>
        <v>2023-08</v>
      </c>
      <c r="K278">
        <f>YEAR(SalesData[[#This Row],[Date]])</f>
        <v>2023</v>
      </c>
      <c r="L278" t="str">
        <f>"Q"&amp;ROUNDUP(MONTH(SalesData[[#This Row],[Date]])/3,0)</f>
        <v>Q3</v>
      </c>
      <c r="M278" s="1" t="d">
        <f>DATE(YEAR(SalesData[[#This Row],[Date]]),MONTH(SalesData[[#This Row],[Date]]),1)</f>
        <v>2023-08-01</v>
      </c>
      <c r="N27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79" spans="1:14">
      <c r="A279">
        <v>278</v>
      </c>
      <c r="B279" s="1" t="d">
        <v>2023-03-13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t="str">
        <f>TEXT(SalesData[[#This Row],[Date]],"yyyy-mm")</f>
        <v>2023-03</v>
      </c>
      <c r="K279">
        <f>YEAR(SalesData[[#This Row],[Date]])</f>
        <v>2023</v>
      </c>
      <c r="L279" t="str">
        <f>"Q"&amp;ROUNDUP(MONTH(SalesData[[#This Row],[Date]])/3,0)</f>
        <v>Q1</v>
      </c>
      <c r="M279" s="1" t="d">
        <f>DATE(YEAR(SalesData[[#This Row],[Date]]),MONTH(SalesData[[#This Row],[Date]]),1)</f>
        <v>2023-03-01</v>
      </c>
      <c r="N27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80" spans="1:14">
      <c r="A280">
        <v>279</v>
      </c>
      <c r="B280" s="1" t="d">
        <v>2023-08-05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t="str">
        <f>TEXT(SalesData[[#This Row],[Date]],"yyyy-mm")</f>
        <v>2023-08</v>
      </c>
      <c r="K280">
        <f>YEAR(SalesData[[#This Row],[Date]])</f>
        <v>2023</v>
      </c>
      <c r="L280" t="str">
        <f>"Q"&amp;ROUNDUP(MONTH(SalesData[[#This Row],[Date]])/3,0)</f>
        <v>Q3</v>
      </c>
      <c r="M280" s="1" t="d">
        <f>DATE(YEAR(SalesData[[#This Row],[Date]]),MONTH(SalesData[[#This Row],[Date]]),1)</f>
        <v>2023-08-01</v>
      </c>
      <c r="N28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81" spans="1:14">
      <c r="A281">
        <v>280</v>
      </c>
      <c r="B281" s="1" t="d">
        <v>2023-04-04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t="str">
        <f>TEXT(SalesData[[#This Row],[Date]],"yyyy-mm")</f>
        <v>2023-04</v>
      </c>
      <c r="K281">
        <f>YEAR(SalesData[[#This Row],[Date]])</f>
        <v>2023</v>
      </c>
      <c r="L281" t="str">
        <f>"Q"&amp;ROUNDUP(MONTH(SalesData[[#This Row],[Date]])/3,0)</f>
        <v>Q2</v>
      </c>
      <c r="M281" s="1" t="d">
        <f>DATE(YEAR(SalesData[[#This Row],[Date]]),MONTH(SalesData[[#This Row],[Date]]),1)</f>
        <v>2023-04-01</v>
      </c>
      <c r="N28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82" spans="1:14">
      <c r="A282">
        <v>281</v>
      </c>
      <c r="B282" s="1" t="d">
        <v>2023-05-23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t="str">
        <f>TEXT(SalesData[[#This Row],[Date]],"yyyy-mm")</f>
        <v>2023-05</v>
      </c>
      <c r="K282">
        <f>YEAR(SalesData[[#This Row],[Date]])</f>
        <v>2023</v>
      </c>
      <c r="L282" t="str">
        <f>"Q"&amp;ROUNDUP(MONTH(SalesData[[#This Row],[Date]])/3,0)</f>
        <v>Q2</v>
      </c>
      <c r="M282" s="1" t="d">
        <f>DATE(YEAR(SalesData[[#This Row],[Date]]),MONTH(SalesData[[#This Row],[Date]]),1)</f>
        <v>2023-05-01</v>
      </c>
      <c r="N28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83" spans="1:14">
      <c r="A283">
        <v>282</v>
      </c>
      <c r="B283" s="1" t="d">
        <v>2023-08-25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t="str">
        <f>TEXT(SalesData[[#This Row],[Date]],"yyyy-mm")</f>
        <v>2023-08</v>
      </c>
      <c r="K283">
        <f>YEAR(SalesData[[#This Row],[Date]])</f>
        <v>2023</v>
      </c>
      <c r="L283" t="str">
        <f>"Q"&amp;ROUNDUP(MONTH(SalesData[[#This Row],[Date]])/3,0)</f>
        <v>Q3</v>
      </c>
      <c r="M283" s="1" t="d">
        <f>DATE(YEAR(SalesData[[#This Row],[Date]]),MONTH(SalesData[[#This Row],[Date]]),1)</f>
        <v>2023-08-01</v>
      </c>
      <c r="N28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84" spans="1:14">
      <c r="A284">
        <v>283</v>
      </c>
      <c r="B284" s="1" t="d">
        <v>2023-05-08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t="str">
        <f>TEXT(SalesData[[#This Row],[Date]],"yyyy-mm")</f>
        <v>2023-05</v>
      </c>
      <c r="K284">
        <f>YEAR(SalesData[[#This Row],[Date]])</f>
        <v>2023</v>
      </c>
      <c r="L284" t="str">
        <f>"Q"&amp;ROUNDUP(MONTH(SalesData[[#This Row],[Date]])/3,0)</f>
        <v>Q2</v>
      </c>
      <c r="M284" s="1" t="d">
        <f>DATE(YEAR(SalesData[[#This Row],[Date]]),MONTH(SalesData[[#This Row],[Date]]),1)</f>
        <v>2023-05-01</v>
      </c>
      <c r="N284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285" spans="1:14">
      <c r="A285">
        <v>284</v>
      </c>
      <c r="B285" s="1" t="d">
        <v>2023-02-08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t="str">
        <f>TEXT(SalesData[[#This Row],[Date]],"yyyy-mm")</f>
        <v>2023-02</v>
      </c>
      <c r="K285">
        <f>YEAR(SalesData[[#This Row],[Date]])</f>
        <v>2023</v>
      </c>
      <c r="L285" t="str">
        <f>"Q"&amp;ROUNDUP(MONTH(SalesData[[#This Row],[Date]])/3,0)</f>
        <v>Q1</v>
      </c>
      <c r="M285" s="1" t="d">
        <f>DATE(YEAR(SalesData[[#This Row],[Date]]),MONTH(SalesData[[#This Row],[Date]]),1)</f>
        <v>2023-02-01</v>
      </c>
      <c r="N28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86" spans="1:14">
      <c r="A286">
        <v>285</v>
      </c>
      <c r="B286" s="1" t="d">
        <v>2023-08-15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t="str">
        <f>TEXT(SalesData[[#This Row],[Date]],"yyyy-mm")</f>
        <v>2023-08</v>
      </c>
      <c r="K286">
        <f>YEAR(SalesData[[#This Row],[Date]])</f>
        <v>2023</v>
      </c>
      <c r="L286" t="str">
        <f>"Q"&amp;ROUNDUP(MONTH(SalesData[[#This Row],[Date]])/3,0)</f>
        <v>Q3</v>
      </c>
      <c r="M286" s="1" t="d">
        <f>DATE(YEAR(SalesData[[#This Row],[Date]]),MONTH(SalesData[[#This Row],[Date]]),1)</f>
        <v>2023-08-01</v>
      </c>
      <c r="N28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87" spans="1:14">
      <c r="A287">
        <v>286</v>
      </c>
      <c r="B287" s="1" t="d">
        <v>2023-10-09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t="str">
        <f>TEXT(SalesData[[#This Row],[Date]],"yyyy-mm")</f>
        <v>2023-10</v>
      </c>
      <c r="K287">
        <f>YEAR(SalesData[[#This Row],[Date]])</f>
        <v>2023</v>
      </c>
      <c r="L287" t="str">
        <f>"Q"&amp;ROUNDUP(MONTH(SalesData[[#This Row],[Date]])/3,0)</f>
        <v>Q4</v>
      </c>
      <c r="M287" s="1" t="d">
        <f>DATE(YEAR(SalesData[[#This Row],[Date]]),MONTH(SalesData[[#This Row],[Date]]),1)</f>
        <v>2023-10-01</v>
      </c>
      <c r="N28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88" spans="1:14">
      <c r="A288">
        <v>287</v>
      </c>
      <c r="B288" s="1" t="d">
        <v>2023-02-20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t="str">
        <f>TEXT(SalesData[[#This Row],[Date]],"yyyy-mm")</f>
        <v>2023-02</v>
      </c>
      <c r="K288">
        <f>YEAR(SalesData[[#This Row],[Date]])</f>
        <v>2023</v>
      </c>
      <c r="L288" t="str">
        <f>"Q"&amp;ROUNDUP(MONTH(SalesData[[#This Row],[Date]])/3,0)</f>
        <v>Q1</v>
      </c>
      <c r="M288" s="1" t="d">
        <f>DATE(YEAR(SalesData[[#This Row],[Date]]),MONTH(SalesData[[#This Row],[Date]]),1)</f>
        <v>2023-02-01</v>
      </c>
      <c r="N28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89" spans="1:14">
      <c r="A289">
        <v>288</v>
      </c>
      <c r="B289" s="1" t="d">
        <v>2023-01-26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t="str">
        <f>TEXT(SalesData[[#This Row],[Date]],"yyyy-mm")</f>
        <v>2023-01</v>
      </c>
      <c r="K289">
        <f>YEAR(SalesData[[#This Row],[Date]])</f>
        <v>2023</v>
      </c>
      <c r="L289" t="str">
        <f>"Q"&amp;ROUNDUP(MONTH(SalesData[[#This Row],[Date]])/3,0)</f>
        <v>Q1</v>
      </c>
      <c r="M289" s="1" t="d">
        <f>DATE(YEAR(SalesData[[#This Row],[Date]]),MONTH(SalesData[[#This Row],[Date]]),1)</f>
        <v>2023-01-01</v>
      </c>
      <c r="N28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90" spans="1:14">
      <c r="A290">
        <v>289</v>
      </c>
      <c r="B290" s="1" t="d">
        <v>2023-11-30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t="str">
        <f>TEXT(SalesData[[#This Row],[Date]],"yyyy-mm")</f>
        <v>2023-11</v>
      </c>
      <c r="K290">
        <f>YEAR(SalesData[[#This Row],[Date]])</f>
        <v>2023</v>
      </c>
      <c r="L290" t="str">
        <f>"Q"&amp;ROUNDUP(MONTH(SalesData[[#This Row],[Date]])/3,0)</f>
        <v>Q4</v>
      </c>
      <c r="M290" s="1" t="d">
        <f>DATE(YEAR(SalesData[[#This Row],[Date]]),MONTH(SalesData[[#This Row],[Date]]),1)</f>
        <v>2023-11-01</v>
      </c>
      <c r="N29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91" spans="1:14">
      <c r="A291">
        <v>290</v>
      </c>
      <c r="B291" s="1" t="d">
        <v>2023-10-04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t="str">
        <f>TEXT(SalesData[[#This Row],[Date]],"yyyy-mm")</f>
        <v>2023-10</v>
      </c>
      <c r="K291">
        <f>YEAR(SalesData[[#This Row],[Date]])</f>
        <v>2023</v>
      </c>
      <c r="L291" t="str">
        <f>"Q"&amp;ROUNDUP(MONTH(SalesData[[#This Row],[Date]])/3,0)</f>
        <v>Q4</v>
      </c>
      <c r="M291" s="1" t="d">
        <f>DATE(YEAR(SalesData[[#This Row],[Date]]),MONTH(SalesData[[#This Row],[Date]]),1)</f>
        <v>2023-10-01</v>
      </c>
      <c r="N29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292" spans="1:14">
      <c r="A292">
        <v>291</v>
      </c>
      <c r="B292" s="1" t="d">
        <v>2023-01-08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t="str">
        <f>TEXT(SalesData[[#This Row],[Date]],"yyyy-mm")</f>
        <v>2023-01</v>
      </c>
      <c r="K292">
        <f>YEAR(SalesData[[#This Row],[Date]])</f>
        <v>2023</v>
      </c>
      <c r="L292" t="str">
        <f>"Q"&amp;ROUNDUP(MONTH(SalesData[[#This Row],[Date]])/3,0)</f>
        <v>Q1</v>
      </c>
      <c r="M292" s="1" t="d">
        <f>DATE(YEAR(SalesData[[#This Row],[Date]]),MONTH(SalesData[[#This Row],[Date]]),1)</f>
        <v>2023-01-01</v>
      </c>
      <c r="N2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93" spans="1:14">
      <c r="A293">
        <v>292</v>
      </c>
      <c r="B293" s="1" t="d">
        <v>2023-02-17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t="str">
        <f>TEXT(SalesData[[#This Row],[Date]],"yyyy-mm")</f>
        <v>2023-02</v>
      </c>
      <c r="K293">
        <f>YEAR(SalesData[[#This Row],[Date]])</f>
        <v>2023</v>
      </c>
      <c r="L293" t="str">
        <f>"Q"&amp;ROUNDUP(MONTH(SalesData[[#This Row],[Date]])/3,0)</f>
        <v>Q1</v>
      </c>
      <c r="M293" s="1" t="d">
        <f>DATE(YEAR(SalesData[[#This Row],[Date]]),MONTH(SalesData[[#This Row],[Date]]),1)</f>
        <v>2023-02-01</v>
      </c>
      <c r="N29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94" spans="1:14">
      <c r="A294">
        <v>293</v>
      </c>
      <c r="B294" s="1" t="d">
        <v>2023-05-02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t="str">
        <f>TEXT(SalesData[[#This Row],[Date]],"yyyy-mm")</f>
        <v>2023-05</v>
      </c>
      <c r="K294">
        <f>YEAR(SalesData[[#This Row],[Date]])</f>
        <v>2023</v>
      </c>
      <c r="L294" t="str">
        <f>"Q"&amp;ROUNDUP(MONTH(SalesData[[#This Row],[Date]])/3,0)</f>
        <v>Q2</v>
      </c>
      <c r="M294" s="1" t="d">
        <f>DATE(YEAR(SalesData[[#This Row],[Date]]),MONTH(SalesData[[#This Row],[Date]]),1)</f>
        <v>2023-05-01</v>
      </c>
      <c r="N29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295" spans="1:14">
      <c r="A295">
        <v>294</v>
      </c>
      <c r="B295" s="1" t="d">
        <v>2023-03-27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t="str">
        <f>TEXT(SalesData[[#This Row],[Date]],"yyyy-mm")</f>
        <v>2023-03</v>
      </c>
      <c r="K295">
        <f>YEAR(SalesData[[#This Row],[Date]])</f>
        <v>2023</v>
      </c>
      <c r="L295" t="str">
        <f>"Q"&amp;ROUNDUP(MONTH(SalesData[[#This Row],[Date]])/3,0)</f>
        <v>Q1</v>
      </c>
      <c r="M295" s="1" t="d">
        <f>DATE(YEAR(SalesData[[#This Row],[Date]]),MONTH(SalesData[[#This Row],[Date]]),1)</f>
        <v>2023-03-01</v>
      </c>
      <c r="N29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96" spans="1:14">
      <c r="A296">
        <v>295</v>
      </c>
      <c r="B296" s="1" t="d">
        <v>2023-07-28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t="str">
        <f>TEXT(SalesData[[#This Row],[Date]],"yyyy-mm")</f>
        <v>2023-07</v>
      </c>
      <c r="K296">
        <f>YEAR(SalesData[[#This Row],[Date]])</f>
        <v>2023</v>
      </c>
      <c r="L296" t="str">
        <f>"Q"&amp;ROUNDUP(MONTH(SalesData[[#This Row],[Date]])/3,0)</f>
        <v>Q3</v>
      </c>
      <c r="M296" s="1" t="d">
        <f>DATE(YEAR(SalesData[[#This Row],[Date]]),MONTH(SalesData[[#This Row],[Date]]),1)</f>
        <v>2023-07-01</v>
      </c>
      <c r="N29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97" spans="1:14">
      <c r="A297">
        <v>296</v>
      </c>
      <c r="B297" s="1" t="d">
        <v>2023-09-06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t="str">
        <f>TEXT(SalesData[[#This Row],[Date]],"yyyy-mm")</f>
        <v>2023-09</v>
      </c>
      <c r="K297">
        <f>YEAR(SalesData[[#This Row],[Date]])</f>
        <v>2023</v>
      </c>
      <c r="L297" t="str">
        <f>"Q"&amp;ROUNDUP(MONTH(SalesData[[#This Row],[Date]])/3,0)</f>
        <v>Q3</v>
      </c>
      <c r="M297" s="1" t="d">
        <f>DATE(YEAR(SalesData[[#This Row],[Date]]),MONTH(SalesData[[#This Row],[Date]]),1)</f>
        <v>2023-09-01</v>
      </c>
      <c r="N29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298" spans="1:14">
      <c r="A298">
        <v>297</v>
      </c>
      <c r="B298" s="1" t="d">
        <v>2023-09-04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t="str">
        <f>TEXT(SalesData[[#This Row],[Date]],"yyyy-mm")</f>
        <v>2023-09</v>
      </c>
      <c r="K298">
        <f>YEAR(SalesData[[#This Row],[Date]])</f>
        <v>2023</v>
      </c>
      <c r="L298" t="str">
        <f>"Q"&amp;ROUNDUP(MONTH(SalesData[[#This Row],[Date]])/3,0)</f>
        <v>Q3</v>
      </c>
      <c r="M298" s="1" t="d">
        <f>DATE(YEAR(SalesData[[#This Row],[Date]]),MONTH(SalesData[[#This Row],[Date]]),1)</f>
        <v>2023-09-01</v>
      </c>
      <c r="N29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299" spans="1:14">
      <c r="A299">
        <v>298</v>
      </c>
      <c r="B299" s="1" t="d">
        <v>2023-04-20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t="str">
        <f>TEXT(SalesData[[#This Row],[Date]],"yyyy-mm")</f>
        <v>2023-04</v>
      </c>
      <c r="K299">
        <f>YEAR(SalesData[[#This Row],[Date]])</f>
        <v>2023</v>
      </c>
      <c r="L299" t="str">
        <f>"Q"&amp;ROUNDUP(MONTH(SalesData[[#This Row],[Date]])/3,0)</f>
        <v>Q2</v>
      </c>
      <c r="M299" s="1" t="d">
        <f>DATE(YEAR(SalesData[[#This Row],[Date]]),MONTH(SalesData[[#This Row],[Date]]),1)</f>
        <v>2023-04-01</v>
      </c>
      <c r="N29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00" spans="1:14">
      <c r="A300">
        <v>299</v>
      </c>
      <c r="B300" s="1" t="d">
        <v>2023-07-25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t="str">
        <f>TEXT(SalesData[[#This Row],[Date]],"yyyy-mm")</f>
        <v>2023-07</v>
      </c>
      <c r="K300">
        <f>YEAR(SalesData[[#This Row],[Date]])</f>
        <v>2023</v>
      </c>
      <c r="L300" t="str">
        <f>"Q"&amp;ROUNDUP(MONTH(SalesData[[#This Row],[Date]])/3,0)</f>
        <v>Q3</v>
      </c>
      <c r="M300" s="1" t="d">
        <f>DATE(YEAR(SalesData[[#This Row],[Date]]),MONTH(SalesData[[#This Row],[Date]]),1)</f>
        <v>2023-07-01</v>
      </c>
      <c r="N30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01" spans="1:14">
      <c r="A301">
        <v>300</v>
      </c>
      <c r="B301" s="1" t="d">
        <v>2023-01-31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t="str">
        <f>TEXT(SalesData[[#This Row],[Date]],"yyyy-mm")</f>
        <v>2023-01</v>
      </c>
      <c r="K301">
        <f>YEAR(SalesData[[#This Row],[Date]])</f>
        <v>2023</v>
      </c>
      <c r="L301" t="str">
        <f>"Q"&amp;ROUNDUP(MONTH(SalesData[[#This Row],[Date]])/3,0)</f>
        <v>Q1</v>
      </c>
      <c r="M301" s="1" t="d">
        <f>DATE(YEAR(SalesData[[#This Row],[Date]]),MONTH(SalesData[[#This Row],[Date]]),1)</f>
        <v>2023-01-01</v>
      </c>
      <c r="N301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02" spans="1:14">
      <c r="A302">
        <v>301</v>
      </c>
      <c r="B302" s="1" t="d">
        <v>2023-03-26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t="str">
        <f>TEXT(SalesData[[#This Row],[Date]],"yyyy-mm")</f>
        <v>2023-03</v>
      </c>
      <c r="K302">
        <f>YEAR(SalesData[[#This Row],[Date]])</f>
        <v>2023</v>
      </c>
      <c r="L302" t="str">
        <f>"Q"&amp;ROUNDUP(MONTH(SalesData[[#This Row],[Date]])/3,0)</f>
        <v>Q1</v>
      </c>
      <c r="M302" s="1" t="d">
        <f>DATE(YEAR(SalesData[[#This Row],[Date]]),MONTH(SalesData[[#This Row],[Date]]),1)</f>
        <v>2023-03-01</v>
      </c>
      <c r="N30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03" spans="1:14">
      <c r="A303">
        <v>302</v>
      </c>
      <c r="B303" s="1" t="d">
        <v>2023-07-14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t="str">
        <f>TEXT(SalesData[[#This Row],[Date]],"yyyy-mm")</f>
        <v>2023-07</v>
      </c>
      <c r="K303">
        <f>YEAR(SalesData[[#This Row],[Date]])</f>
        <v>2023</v>
      </c>
      <c r="L303" t="str">
        <f>"Q"&amp;ROUNDUP(MONTH(SalesData[[#This Row],[Date]])/3,0)</f>
        <v>Q3</v>
      </c>
      <c r="M303" s="1" t="d">
        <f>DATE(YEAR(SalesData[[#This Row],[Date]]),MONTH(SalesData[[#This Row],[Date]]),1)</f>
        <v>2023-07-01</v>
      </c>
      <c r="N30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04" spans="1:14">
      <c r="A304">
        <v>303</v>
      </c>
      <c r="B304" s="1" t="d">
        <v>2023-01-02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t="str">
        <f>TEXT(SalesData[[#This Row],[Date]],"yyyy-mm")</f>
        <v>2023-01</v>
      </c>
      <c r="K304">
        <f>YEAR(SalesData[[#This Row],[Date]])</f>
        <v>2023</v>
      </c>
      <c r="L304" t="str">
        <f>"Q"&amp;ROUNDUP(MONTH(SalesData[[#This Row],[Date]])/3,0)</f>
        <v>Q1</v>
      </c>
      <c r="M304" s="1" t="d">
        <f>DATE(YEAR(SalesData[[#This Row],[Date]]),MONTH(SalesData[[#This Row],[Date]]),1)</f>
        <v>2023-01-01</v>
      </c>
      <c r="N304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05" spans="1:14">
      <c r="A305">
        <v>304</v>
      </c>
      <c r="B305" s="1" t="d">
        <v>2023-07-19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t="str">
        <f>TEXT(SalesData[[#This Row],[Date]],"yyyy-mm")</f>
        <v>2023-07</v>
      </c>
      <c r="K305">
        <f>YEAR(SalesData[[#This Row],[Date]])</f>
        <v>2023</v>
      </c>
      <c r="L305" t="str">
        <f>"Q"&amp;ROUNDUP(MONTH(SalesData[[#This Row],[Date]])/3,0)</f>
        <v>Q3</v>
      </c>
      <c r="M305" s="1" t="d">
        <f>DATE(YEAR(SalesData[[#This Row],[Date]]),MONTH(SalesData[[#This Row],[Date]]),1)</f>
        <v>2023-07-01</v>
      </c>
      <c r="N30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06" spans="1:14">
      <c r="A306">
        <v>305</v>
      </c>
      <c r="B306" s="1" t="d">
        <v>2023-05-16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t="str">
        <f>TEXT(SalesData[[#This Row],[Date]],"yyyy-mm")</f>
        <v>2023-05</v>
      </c>
      <c r="K306">
        <f>YEAR(SalesData[[#This Row],[Date]])</f>
        <v>2023</v>
      </c>
      <c r="L306" t="str">
        <f>"Q"&amp;ROUNDUP(MONTH(SalesData[[#This Row],[Date]])/3,0)</f>
        <v>Q2</v>
      </c>
      <c r="M306" s="1" t="d">
        <f>DATE(YEAR(SalesData[[#This Row],[Date]]),MONTH(SalesData[[#This Row],[Date]]),1)</f>
        <v>2023-05-01</v>
      </c>
      <c r="N306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07" spans="1:14">
      <c r="A307">
        <v>306</v>
      </c>
      <c r="B307" s="1" t="d">
        <v>2023-08-21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t="str">
        <f>TEXT(SalesData[[#This Row],[Date]],"yyyy-mm")</f>
        <v>2023-08</v>
      </c>
      <c r="K307">
        <f>YEAR(SalesData[[#This Row],[Date]])</f>
        <v>2023</v>
      </c>
      <c r="L307" t="str">
        <f>"Q"&amp;ROUNDUP(MONTH(SalesData[[#This Row],[Date]])/3,0)</f>
        <v>Q3</v>
      </c>
      <c r="M307" s="1" t="d">
        <f>DATE(YEAR(SalesData[[#This Row],[Date]]),MONTH(SalesData[[#This Row],[Date]]),1)</f>
        <v>2023-08-01</v>
      </c>
      <c r="N30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08" spans="1:14">
      <c r="A308">
        <v>307</v>
      </c>
      <c r="B308" s="1" t="d">
        <v>2023-05-27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t="str">
        <f>TEXT(SalesData[[#This Row],[Date]],"yyyy-mm")</f>
        <v>2023-05</v>
      </c>
      <c r="K308">
        <f>YEAR(SalesData[[#This Row],[Date]])</f>
        <v>2023</v>
      </c>
      <c r="L308" t="str">
        <f>"Q"&amp;ROUNDUP(MONTH(SalesData[[#This Row],[Date]])/3,0)</f>
        <v>Q2</v>
      </c>
      <c r="M308" s="1" t="d">
        <f>DATE(YEAR(SalesData[[#This Row],[Date]]),MONTH(SalesData[[#This Row],[Date]]),1)</f>
        <v>2023-05-01</v>
      </c>
      <c r="N30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09" spans="1:14">
      <c r="A309">
        <v>308</v>
      </c>
      <c r="B309" s="1" t="d">
        <v>2023-08-05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t="str">
        <f>TEXT(SalesData[[#This Row],[Date]],"yyyy-mm")</f>
        <v>2023-08</v>
      </c>
      <c r="K309">
        <f>YEAR(SalesData[[#This Row],[Date]])</f>
        <v>2023</v>
      </c>
      <c r="L309" t="str">
        <f>"Q"&amp;ROUNDUP(MONTH(SalesData[[#This Row],[Date]])/3,0)</f>
        <v>Q3</v>
      </c>
      <c r="M309" s="1" t="d">
        <f>DATE(YEAR(SalesData[[#This Row],[Date]]),MONTH(SalesData[[#This Row],[Date]]),1)</f>
        <v>2023-08-01</v>
      </c>
      <c r="N30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10" spans="1:14">
      <c r="A310">
        <v>309</v>
      </c>
      <c r="B310" s="1" t="d">
        <v>2023-12-23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t="str">
        <f>TEXT(SalesData[[#This Row],[Date]],"yyyy-mm")</f>
        <v>2023-12</v>
      </c>
      <c r="K310">
        <f>YEAR(SalesData[[#This Row],[Date]])</f>
        <v>2023</v>
      </c>
      <c r="L310" t="str">
        <f>"Q"&amp;ROUNDUP(MONTH(SalesData[[#This Row],[Date]])/3,0)</f>
        <v>Q4</v>
      </c>
      <c r="M310" s="1" t="d">
        <f>DATE(YEAR(SalesData[[#This Row],[Date]]),MONTH(SalesData[[#This Row],[Date]]),1)</f>
        <v>2023-12-01</v>
      </c>
      <c r="N31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11" spans="1:14">
      <c r="A311">
        <v>310</v>
      </c>
      <c r="B311" s="1" t="d">
        <v>2023-10-12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t="str">
        <f>TEXT(SalesData[[#This Row],[Date]],"yyyy-mm")</f>
        <v>2023-10</v>
      </c>
      <c r="K311">
        <f>YEAR(SalesData[[#This Row],[Date]])</f>
        <v>2023</v>
      </c>
      <c r="L311" t="str">
        <f>"Q"&amp;ROUNDUP(MONTH(SalesData[[#This Row],[Date]])/3,0)</f>
        <v>Q4</v>
      </c>
      <c r="M311" s="1" t="d">
        <f>DATE(YEAR(SalesData[[#This Row],[Date]]),MONTH(SalesData[[#This Row],[Date]]),1)</f>
        <v>2023-10-01</v>
      </c>
      <c r="N3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12" spans="1:14">
      <c r="A312">
        <v>311</v>
      </c>
      <c r="B312" s="1" t="d">
        <v>2023-12-05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t="str">
        <f>TEXT(SalesData[[#This Row],[Date]],"yyyy-mm")</f>
        <v>2023-12</v>
      </c>
      <c r="K312">
        <f>YEAR(SalesData[[#This Row],[Date]])</f>
        <v>2023</v>
      </c>
      <c r="L312" t="str">
        <f>"Q"&amp;ROUNDUP(MONTH(SalesData[[#This Row],[Date]])/3,0)</f>
        <v>Q4</v>
      </c>
      <c r="M312" s="1" t="d">
        <f>DATE(YEAR(SalesData[[#This Row],[Date]]),MONTH(SalesData[[#This Row],[Date]]),1)</f>
        <v>2023-12-01</v>
      </c>
      <c r="N31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13" spans="1:14">
      <c r="A313">
        <v>312</v>
      </c>
      <c r="B313" s="1" t="d">
        <v>2023-09-07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t="str">
        <f>TEXT(SalesData[[#This Row],[Date]],"yyyy-mm")</f>
        <v>2023-09</v>
      </c>
      <c r="K313">
        <f>YEAR(SalesData[[#This Row],[Date]])</f>
        <v>2023</v>
      </c>
      <c r="L313" t="str">
        <f>"Q"&amp;ROUNDUP(MONTH(SalesData[[#This Row],[Date]])/3,0)</f>
        <v>Q3</v>
      </c>
      <c r="M313" s="1" t="d">
        <f>DATE(YEAR(SalesData[[#This Row],[Date]]),MONTH(SalesData[[#This Row],[Date]]),1)</f>
        <v>2023-09-01</v>
      </c>
      <c r="N31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14" spans="1:14">
      <c r="A314">
        <v>313</v>
      </c>
      <c r="B314" s="1" t="d">
        <v>2023-03-21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t="str">
        <f>TEXT(SalesData[[#This Row],[Date]],"yyyy-mm")</f>
        <v>2023-03</v>
      </c>
      <c r="K314">
        <f>YEAR(SalesData[[#This Row],[Date]])</f>
        <v>2023</v>
      </c>
      <c r="L314" t="str">
        <f>"Q"&amp;ROUNDUP(MONTH(SalesData[[#This Row],[Date]])/3,0)</f>
        <v>Q1</v>
      </c>
      <c r="M314" s="1" t="d">
        <f>DATE(YEAR(SalesData[[#This Row],[Date]]),MONTH(SalesData[[#This Row],[Date]]),1)</f>
        <v>2023-03-01</v>
      </c>
      <c r="N31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15" spans="1:14">
      <c r="A315">
        <v>314</v>
      </c>
      <c r="B315" s="1" t="d">
        <v>2023-04-08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t="str">
        <f>TEXT(SalesData[[#This Row],[Date]],"yyyy-mm")</f>
        <v>2023-04</v>
      </c>
      <c r="K315">
        <f>YEAR(SalesData[[#This Row],[Date]])</f>
        <v>2023</v>
      </c>
      <c r="L315" t="str">
        <f>"Q"&amp;ROUNDUP(MONTH(SalesData[[#This Row],[Date]])/3,0)</f>
        <v>Q2</v>
      </c>
      <c r="M315" s="1" t="d">
        <f>DATE(YEAR(SalesData[[#This Row],[Date]]),MONTH(SalesData[[#This Row],[Date]]),1)</f>
        <v>2023-04-01</v>
      </c>
      <c r="N31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16" spans="1:14">
      <c r="A316">
        <v>315</v>
      </c>
      <c r="B316" s="1" t="d">
        <v>2023-06-01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t="str">
        <f>TEXT(SalesData[[#This Row],[Date]],"yyyy-mm")</f>
        <v>2023-06</v>
      </c>
      <c r="K316">
        <f>YEAR(SalesData[[#This Row],[Date]])</f>
        <v>2023</v>
      </c>
      <c r="L316" t="str">
        <f>"Q"&amp;ROUNDUP(MONTH(SalesData[[#This Row],[Date]])/3,0)</f>
        <v>Q2</v>
      </c>
      <c r="M316" s="1" t="d">
        <f>DATE(YEAR(SalesData[[#This Row],[Date]]),MONTH(SalesData[[#This Row],[Date]]),1)</f>
        <v>2023-06-01</v>
      </c>
      <c r="N31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17" spans="1:14">
      <c r="A317">
        <v>316</v>
      </c>
      <c r="B317" s="1" t="d">
        <v>2023-04-22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t="str">
        <f>TEXT(SalesData[[#This Row],[Date]],"yyyy-mm")</f>
        <v>2023-04</v>
      </c>
      <c r="K317">
        <f>YEAR(SalesData[[#This Row],[Date]])</f>
        <v>2023</v>
      </c>
      <c r="L317" t="str">
        <f>"Q"&amp;ROUNDUP(MONTH(SalesData[[#This Row],[Date]])/3,0)</f>
        <v>Q2</v>
      </c>
      <c r="M317" s="1" t="d">
        <f>DATE(YEAR(SalesData[[#This Row],[Date]]),MONTH(SalesData[[#This Row],[Date]]),1)</f>
        <v>2023-04-01</v>
      </c>
      <c r="N31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18" spans="1:14">
      <c r="A318">
        <v>317</v>
      </c>
      <c r="B318" s="1" t="d">
        <v>2023-01-30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t="str">
        <f>TEXT(SalesData[[#This Row],[Date]],"yyyy-mm")</f>
        <v>2023-01</v>
      </c>
      <c r="K318">
        <f>YEAR(SalesData[[#This Row],[Date]])</f>
        <v>2023</v>
      </c>
      <c r="L318" t="str">
        <f>"Q"&amp;ROUNDUP(MONTH(SalesData[[#This Row],[Date]])/3,0)</f>
        <v>Q1</v>
      </c>
      <c r="M318" s="1" t="d">
        <f>DATE(YEAR(SalesData[[#This Row],[Date]]),MONTH(SalesData[[#This Row],[Date]]),1)</f>
        <v>2023-01-01</v>
      </c>
      <c r="N31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19" spans="1:14">
      <c r="A319">
        <v>318</v>
      </c>
      <c r="B319" s="1" t="d">
        <v>2023-10-24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t="str">
        <f>TEXT(SalesData[[#This Row],[Date]],"yyyy-mm")</f>
        <v>2023-10</v>
      </c>
      <c r="K319">
        <f>YEAR(SalesData[[#This Row],[Date]])</f>
        <v>2023</v>
      </c>
      <c r="L319" t="str">
        <f>"Q"&amp;ROUNDUP(MONTH(SalesData[[#This Row],[Date]])/3,0)</f>
        <v>Q4</v>
      </c>
      <c r="M319" s="1" t="d">
        <f>DATE(YEAR(SalesData[[#This Row],[Date]]),MONTH(SalesData[[#This Row],[Date]]),1)</f>
        <v>2023-10-01</v>
      </c>
      <c r="N31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20" spans="1:14">
      <c r="A320">
        <v>319</v>
      </c>
      <c r="B320" s="1" t="d">
        <v>2023-10-05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t="str">
        <f>TEXT(SalesData[[#This Row],[Date]],"yyyy-mm")</f>
        <v>2023-10</v>
      </c>
      <c r="K320">
        <f>YEAR(SalesData[[#This Row],[Date]])</f>
        <v>2023</v>
      </c>
      <c r="L320" t="str">
        <f>"Q"&amp;ROUNDUP(MONTH(SalesData[[#This Row],[Date]])/3,0)</f>
        <v>Q4</v>
      </c>
      <c r="M320" s="1" t="d">
        <f>DATE(YEAR(SalesData[[#This Row],[Date]]),MONTH(SalesData[[#This Row],[Date]]),1)</f>
        <v>2023-10-01</v>
      </c>
      <c r="N32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21" spans="1:14">
      <c r="A321">
        <v>320</v>
      </c>
      <c r="B321" s="1" t="d">
        <v>2023-02-01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t="str">
        <f>TEXT(SalesData[[#This Row],[Date]],"yyyy-mm")</f>
        <v>2023-02</v>
      </c>
      <c r="K321">
        <f>YEAR(SalesData[[#This Row],[Date]])</f>
        <v>2023</v>
      </c>
      <c r="L321" t="str">
        <f>"Q"&amp;ROUNDUP(MONTH(SalesData[[#This Row],[Date]])/3,0)</f>
        <v>Q1</v>
      </c>
      <c r="M321" s="1" t="d">
        <f>DATE(YEAR(SalesData[[#This Row],[Date]]),MONTH(SalesData[[#This Row],[Date]]),1)</f>
        <v>2023-02-01</v>
      </c>
      <c r="N32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22" spans="1:14">
      <c r="A322">
        <v>321</v>
      </c>
      <c r="B322" s="1" t="d">
        <v>2023-06-10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t="str">
        <f>TEXT(SalesData[[#This Row],[Date]],"yyyy-mm")</f>
        <v>2023-06</v>
      </c>
      <c r="K322">
        <f>YEAR(SalesData[[#This Row],[Date]])</f>
        <v>2023</v>
      </c>
      <c r="L322" t="str">
        <f>"Q"&amp;ROUNDUP(MONTH(SalesData[[#This Row],[Date]])/3,0)</f>
        <v>Q2</v>
      </c>
      <c r="M322" s="1" t="d">
        <f>DATE(YEAR(SalesData[[#This Row],[Date]]),MONTH(SalesData[[#This Row],[Date]]),1)</f>
        <v>2023-06-01</v>
      </c>
      <c r="N32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23" spans="1:14">
      <c r="A323">
        <v>322</v>
      </c>
      <c r="B323" s="1" t="d">
        <v>2023-01-30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t="str">
        <f>TEXT(SalesData[[#This Row],[Date]],"yyyy-mm")</f>
        <v>2023-01</v>
      </c>
      <c r="K323">
        <f>YEAR(SalesData[[#This Row],[Date]])</f>
        <v>2023</v>
      </c>
      <c r="L323" t="str">
        <f>"Q"&amp;ROUNDUP(MONTH(SalesData[[#This Row],[Date]])/3,0)</f>
        <v>Q1</v>
      </c>
      <c r="M323" s="1" t="d">
        <f>DATE(YEAR(SalesData[[#This Row],[Date]]),MONTH(SalesData[[#This Row],[Date]]),1)</f>
        <v>2023-01-01</v>
      </c>
      <c r="N32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24" spans="1:14">
      <c r="A324">
        <v>323</v>
      </c>
      <c r="B324" s="1" t="d">
        <v>2023-01-26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t="str">
        <f>TEXT(SalesData[[#This Row],[Date]],"yyyy-mm")</f>
        <v>2023-01</v>
      </c>
      <c r="K324">
        <f>YEAR(SalesData[[#This Row],[Date]])</f>
        <v>2023</v>
      </c>
      <c r="L324" t="str">
        <f>"Q"&amp;ROUNDUP(MONTH(SalesData[[#This Row],[Date]])/3,0)</f>
        <v>Q1</v>
      </c>
      <c r="M324" s="1" t="d">
        <f>DATE(YEAR(SalesData[[#This Row],[Date]]),MONTH(SalesData[[#This Row],[Date]]),1)</f>
        <v>2023-01-01</v>
      </c>
      <c r="N32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25" spans="1:14">
      <c r="A325">
        <v>324</v>
      </c>
      <c r="B325" s="1" t="d">
        <v>2023-10-27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t="str">
        <f>TEXT(SalesData[[#This Row],[Date]],"yyyy-mm")</f>
        <v>2023-10</v>
      </c>
      <c r="K325">
        <f>YEAR(SalesData[[#This Row],[Date]])</f>
        <v>2023</v>
      </c>
      <c r="L325" t="str">
        <f>"Q"&amp;ROUNDUP(MONTH(SalesData[[#This Row],[Date]])/3,0)</f>
        <v>Q4</v>
      </c>
      <c r="M325" s="1" t="d">
        <f>DATE(YEAR(SalesData[[#This Row],[Date]]),MONTH(SalesData[[#This Row],[Date]]),1)</f>
        <v>2023-10-01</v>
      </c>
      <c r="N32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26" spans="1:14">
      <c r="A326">
        <v>325</v>
      </c>
      <c r="B326" s="1" t="d">
        <v>2023-09-02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t="str">
        <f>TEXT(SalesData[[#This Row],[Date]],"yyyy-mm")</f>
        <v>2023-09</v>
      </c>
      <c r="K326">
        <f>YEAR(SalesData[[#This Row],[Date]])</f>
        <v>2023</v>
      </c>
      <c r="L326" t="str">
        <f>"Q"&amp;ROUNDUP(MONTH(SalesData[[#This Row],[Date]])/3,0)</f>
        <v>Q3</v>
      </c>
      <c r="M326" s="1" t="d">
        <f>DATE(YEAR(SalesData[[#This Row],[Date]]),MONTH(SalesData[[#This Row],[Date]]),1)</f>
        <v>2023-09-01</v>
      </c>
      <c r="N32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27" spans="1:14">
      <c r="A327">
        <v>326</v>
      </c>
      <c r="B327" s="1" t="d">
        <v>2023-09-15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t="str">
        <f>TEXT(SalesData[[#This Row],[Date]],"yyyy-mm")</f>
        <v>2023-09</v>
      </c>
      <c r="K327">
        <f>YEAR(SalesData[[#This Row],[Date]])</f>
        <v>2023</v>
      </c>
      <c r="L327" t="str">
        <f>"Q"&amp;ROUNDUP(MONTH(SalesData[[#This Row],[Date]])/3,0)</f>
        <v>Q3</v>
      </c>
      <c r="M327" s="1" t="d">
        <f>DATE(YEAR(SalesData[[#This Row],[Date]]),MONTH(SalesData[[#This Row],[Date]]),1)</f>
        <v>2023-09-01</v>
      </c>
      <c r="N327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28" spans="1:14">
      <c r="A328">
        <v>327</v>
      </c>
      <c r="B328" s="1" t="d">
        <v>2023-09-29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t="str">
        <f>TEXT(SalesData[[#This Row],[Date]],"yyyy-mm")</f>
        <v>2023-09</v>
      </c>
      <c r="K328">
        <f>YEAR(SalesData[[#This Row],[Date]])</f>
        <v>2023</v>
      </c>
      <c r="L328" t="str">
        <f>"Q"&amp;ROUNDUP(MONTH(SalesData[[#This Row],[Date]])/3,0)</f>
        <v>Q3</v>
      </c>
      <c r="M328" s="1" t="d">
        <f>DATE(YEAR(SalesData[[#This Row],[Date]]),MONTH(SalesData[[#This Row],[Date]]),1)</f>
        <v>2023-09-01</v>
      </c>
      <c r="N32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29" spans="1:14">
      <c r="A329">
        <v>328</v>
      </c>
      <c r="B329" s="1" t="d">
        <v>2023-03-22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t="str">
        <f>TEXT(SalesData[[#This Row],[Date]],"yyyy-mm")</f>
        <v>2023-03</v>
      </c>
      <c r="K329">
        <f>YEAR(SalesData[[#This Row],[Date]])</f>
        <v>2023</v>
      </c>
      <c r="L329" t="str">
        <f>"Q"&amp;ROUNDUP(MONTH(SalesData[[#This Row],[Date]])/3,0)</f>
        <v>Q1</v>
      </c>
      <c r="M329" s="1" t="d">
        <f>DATE(YEAR(SalesData[[#This Row],[Date]]),MONTH(SalesData[[#This Row],[Date]]),1)</f>
        <v>2023-03-01</v>
      </c>
      <c r="N32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30" spans="1:14">
      <c r="A330">
        <v>329</v>
      </c>
      <c r="B330" s="1" t="d">
        <v>2023-01-30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t="str">
        <f>TEXT(SalesData[[#This Row],[Date]],"yyyy-mm")</f>
        <v>2023-01</v>
      </c>
      <c r="K330">
        <f>YEAR(SalesData[[#This Row],[Date]])</f>
        <v>2023</v>
      </c>
      <c r="L330" t="str">
        <f>"Q"&amp;ROUNDUP(MONTH(SalesData[[#This Row],[Date]])/3,0)</f>
        <v>Q1</v>
      </c>
      <c r="M330" s="1" t="d">
        <f>DATE(YEAR(SalesData[[#This Row],[Date]]),MONTH(SalesData[[#This Row],[Date]]),1)</f>
        <v>2023-01-01</v>
      </c>
      <c r="N33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31" spans="1:14">
      <c r="A331">
        <v>330</v>
      </c>
      <c r="B331" s="1" t="d">
        <v>2023-09-18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t="str">
        <f>TEXT(SalesData[[#This Row],[Date]],"yyyy-mm")</f>
        <v>2023-09</v>
      </c>
      <c r="K331">
        <f>YEAR(SalesData[[#This Row],[Date]])</f>
        <v>2023</v>
      </c>
      <c r="L331" t="str">
        <f>"Q"&amp;ROUNDUP(MONTH(SalesData[[#This Row],[Date]])/3,0)</f>
        <v>Q3</v>
      </c>
      <c r="M331" s="1" t="d">
        <f>DATE(YEAR(SalesData[[#This Row],[Date]]),MONTH(SalesData[[#This Row],[Date]]),1)</f>
        <v>2023-09-01</v>
      </c>
      <c r="N33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32" spans="1:14">
      <c r="A332">
        <v>331</v>
      </c>
      <c r="B332" s="1" t="d">
        <v>2023-02-11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t="str">
        <f>TEXT(SalesData[[#This Row],[Date]],"yyyy-mm")</f>
        <v>2023-02</v>
      </c>
      <c r="K332">
        <f>YEAR(SalesData[[#This Row],[Date]])</f>
        <v>2023</v>
      </c>
      <c r="L332" t="str">
        <f>"Q"&amp;ROUNDUP(MONTH(SalesData[[#This Row],[Date]])/3,0)</f>
        <v>Q1</v>
      </c>
      <c r="M332" s="1" t="d">
        <f>DATE(YEAR(SalesData[[#This Row],[Date]]),MONTH(SalesData[[#This Row],[Date]]),1)</f>
        <v>2023-02-01</v>
      </c>
      <c r="N33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33" spans="1:14">
      <c r="A333">
        <v>332</v>
      </c>
      <c r="B333" s="1" t="d">
        <v>2023-04-06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t="str">
        <f>TEXT(SalesData[[#This Row],[Date]],"yyyy-mm")</f>
        <v>2023-04</v>
      </c>
      <c r="K333">
        <f>YEAR(SalesData[[#This Row],[Date]])</f>
        <v>2023</v>
      </c>
      <c r="L333" t="str">
        <f>"Q"&amp;ROUNDUP(MONTH(SalesData[[#This Row],[Date]])/3,0)</f>
        <v>Q2</v>
      </c>
      <c r="M333" s="1" t="d">
        <f>DATE(YEAR(SalesData[[#This Row],[Date]]),MONTH(SalesData[[#This Row],[Date]]),1)</f>
        <v>2023-04-01</v>
      </c>
      <c r="N33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34" spans="1:14">
      <c r="A334">
        <v>333</v>
      </c>
      <c r="B334" s="1" t="d">
        <v>2023-02-05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t="str">
        <f>TEXT(SalesData[[#This Row],[Date]],"yyyy-mm")</f>
        <v>2023-02</v>
      </c>
      <c r="K334">
        <f>YEAR(SalesData[[#This Row],[Date]])</f>
        <v>2023</v>
      </c>
      <c r="L334" t="str">
        <f>"Q"&amp;ROUNDUP(MONTH(SalesData[[#This Row],[Date]])/3,0)</f>
        <v>Q1</v>
      </c>
      <c r="M334" s="1" t="d">
        <f>DATE(YEAR(SalesData[[#This Row],[Date]]),MONTH(SalesData[[#This Row],[Date]]),1)</f>
        <v>2023-02-01</v>
      </c>
      <c r="N33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35" spans="1:14">
      <c r="A335">
        <v>334</v>
      </c>
      <c r="B335" s="1" t="d">
        <v>2023-11-01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t="str">
        <f>TEXT(SalesData[[#This Row],[Date]],"yyyy-mm")</f>
        <v>2023-11</v>
      </c>
      <c r="K335">
        <f>YEAR(SalesData[[#This Row],[Date]])</f>
        <v>2023</v>
      </c>
      <c r="L335" t="str">
        <f>"Q"&amp;ROUNDUP(MONTH(SalesData[[#This Row],[Date]])/3,0)</f>
        <v>Q4</v>
      </c>
      <c r="M335" s="1" t="d">
        <f>DATE(YEAR(SalesData[[#This Row],[Date]]),MONTH(SalesData[[#This Row],[Date]]),1)</f>
        <v>2023-11-01</v>
      </c>
      <c r="N33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36" spans="1:14">
      <c r="A336">
        <v>335</v>
      </c>
      <c r="B336" s="1" t="d">
        <v>2023-02-04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t="str">
        <f>TEXT(SalesData[[#This Row],[Date]],"yyyy-mm")</f>
        <v>2023-02</v>
      </c>
      <c r="K336">
        <f>YEAR(SalesData[[#This Row],[Date]])</f>
        <v>2023</v>
      </c>
      <c r="L336" t="str">
        <f>"Q"&amp;ROUNDUP(MONTH(SalesData[[#This Row],[Date]])/3,0)</f>
        <v>Q1</v>
      </c>
      <c r="M336" s="1" t="d">
        <f>DATE(YEAR(SalesData[[#This Row],[Date]]),MONTH(SalesData[[#This Row],[Date]]),1)</f>
        <v>2023-02-01</v>
      </c>
      <c r="N33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37" spans="1:14">
      <c r="A337">
        <v>336</v>
      </c>
      <c r="B337" s="1" t="d">
        <v>2023-12-12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t="str">
        <f>TEXT(SalesData[[#This Row],[Date]],"yyyy-mm")</f>
        <v>2023-12</v>
      </c>
      <c r="K337">
        <f>YEAR(SalesData[[#This Row],[Date]])</f>
        <v>2023</v>
      </c>
      <c r="L337" t="str">
        <f>"Q"&amp;ROUNDUP(MONTH(SalesData[[#This Row],[Date]])/3,0)</f>
        <v>Q4</v>
      </c>
      <c r="M337" s="1" t="d">
        <f>DATE(YEAR(SalesData[[#This Row],[Date]]),MONTH(SalesData[[#This Row],[Date]]),1)</f>
        <v>2023-12-01</v>
      </c>
      <c r="N3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38" spans="1:14">
      <c r="A338">
        <v>337</v>
      </c>
      <c r="B338" s="1" t="d">
        <v>2023-05-01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t="str">
        <f>TEXT(SalesData[[#This Row],[Date]],"yyyy-mm")</f>
        <v>2023-05</v>
      </c>
      <c r="K338">
        <f>YEAR(SalesData[[#This Row],[Date]])</f>
        <v>2023</v>
      </c>
      <c r="L338" t="str">
        <f>"Q"&amp;ROUNDUP(MONTH(SalesData[[#This Row],[Date]])/3,0)</f>
        <v>Q2</v>
      </c>
      <c r="M338" s="1" t="d">
        <f>DATE(YEAR(SalesData[[#This Row],[Date]]),MONTH(SalesData[[#This Row],[Date]]),1)</f>
        <v>2023-05-01</v>
      </c>
      <c r="N33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39" spans="1:14">
      <c r="A339">
        <v>338</v>
      </c>
      <c r="B339" s="1" t="d">
        <v>2023-07-26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t="str">
        <f>TEXT(SalesData[[#This Row],[Date]],"yyyy-mm")</f>
        <v>2023-07</v>
      </c>
      <c r="K339">
        <f>YEAR(SalesData[[#This Row],[Date]])</f>
        <v>2023</v>
      </c>
      <c r="L339" t="str">
        <f>"Q"&amp;ROUNDUP(MONTH(SalesData[[#This Row],[Date]])/3,0)</f>
        <v>Q3</v>
      </c>
      <c r="M339" s="1" t="d">
        <f>DATE(YEAR(SalesData[[#This Row],[Date]]),MONTH(SalesData[[#This Row],[Date]]),1)</f>
        <v>2023-07-01</v>
      </c>
      <c r="N33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40" spans="1:14">
      <c r="A340">
        <v>339</v>
      </c>
      <c r="B340" s="1" t="d">
        <v>2023-03-03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t="str">
        <f>TEXT(SalesData[[#This Row],[Date]],"yyyy-mm")</f>
        <v>2023-03</v>
      </c>
      <c r="K340">
        <f>YEAR(SalesData[[#This Row],[Date]])</f>
        <v>2023</v>
      </c>
      <c r="L340" t="str">
        <f>"Q"&amp;ROUNDUP(MONTH(SalesData[[#This Row],[Date]])/3,0)</f>
        <v>Q1</v>
      </c>
      <c r="M340" s="1" t="d">
        <f>DATE(YEAR(SalesData[[#This Row],[Date]]),MONTH(SalesData[[#This Row],[Date]]),1)</f>
        <v>2023-03-01</v>
      </c>
      <c r="N34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41" spans="1:14">
      <c r="A341">
        <v>340</v>
      </c>
      <c r="B341" s="1" t="d">
        <v>2023-10-19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t="str">
        <f>TEXT(SalesData[[#This Row],[Date]],"yyyy-mm")</f>
        <v>2023-10</v>
      </c>
      <c r="K341">
        <f>YEAR(SalesData[[#This Row],[Date]])</f>
        <v>2023</v>
      </c>
      <c r="L341" t="str">
        <f>"Q"&amp;ROUNDUP(MONTH(SalesData[[#This Row],[Date]])/3,0)</f>
        <v>Q4</v>
      </c>
      <c r="M341" s="1" t="d">
        <f>DATE(YEAR(SalesData[[#This Row],[Date]]),MONTH(SalesData[[#This Row],[Date]]),1)</f>
        <v>2023-10-01</v>
      </c>
      <c r="N34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42" spans="1:14">
      <c r="A342">
        <v>341</v>
      </c>
      <c r="B342" s="1" t="d">
        <v>2023-05-07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t="str">
        <f>TEXT(SalesData[[#This Row],[Date]],"yyyy-mm")</f>
        <v>2023-05</v>
      </c>
      <c r="K342">
        <f>YEAR(SalesData[[#This Row],[Date]])</f>
        <v>2023</v>
      </c>
      <c r="L342" t="str">
        <f>"Q"&amp;ROUNDUP(MONTH(SalesData[[#This Row],[Date]])/3,0)</f>
        <v>Q2</v>
      </c>
      <c r="M342" s="1" t="d">
        <f>DATE(YEAR(SalesData[[#This Row],[Date]]),MONTH(SalesData[[#This Row],[Date]]),1)</f>
        <v>2023-05-01</v>
      </c>
      <c r="N34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43" spans="1:14">
      <c r="A343">
        <v>342</v>
      </c>
      <c r="B343" s="1" t="d">
        <v>2023-10-24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t="str">
        <f>TEXT(SalesData[[#This Row],[Date]],"yyyy-mm")</f>
        <v>2023-10</v>
      </c>
      <c r="K343">
        <f>YEAR(SalesData[[#This Row],[Date]])</f>
        <v>2023</v>
      </c>
      <c r="L343" t="str">
        <f>"Q"&amp;ROUNDUP(MONTH(SalesData[[#This Row],[Date]])/3,0)</f>
        <v>Q4</v>
      </c>
      <c r="M343" s="1" t="d">
        <f>DATE(YEAR(SalesData[[#This Row],[Date]]),MONTH(SalesData[[#This Row],[Date]]),1)</f>
        <v>2023-10-01</v>
      </c>
      <c r="N34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44" spans="1:14">
      <c r="A344">
        <v>343</v>
      </c>
      <c r="B344" s="1" t="d">
        <v>2023-11-01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t="str">
        <f>TEXT(SalesData[[#This Row],[Date]],"yyyy-mm")</f>
        <v>2023-11</v>
      </c>
      <c r="K344">
        <f>YEAR(SalesData[[#This Row],[Date]])</f>
        <v>2023</v>
      </c>
      <c r="L344" t="str">
        <f>"Q"&amp;ROUNDUP(MONTH(SalesData[[#This Row],[Date]])/3,0)</f>
        <v>Q4</v>
      </c>
      <c r="M344" s="1" t="d">
        <f>DATE(YEAR(SalesData[[#This Row],[Date]]),MONTH(SalesData[[#This Row],[Date]]),1)</f>
        <v>2023-11-01</v>
      </c>
      <c r="N34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45" spans="1:14">
      <c r="A345">
        <v>344</v>
      </c>
      <c r="B345" s="1" t="d">
        <v>2023-01-21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t="str">
        <f>TEXT(SalesData[[#This Row],[Date]],"yyyy-mm")</f>
        <v>2023-01</v>
      </c>
      <c r="K345">
        <f>YEAR(SalesData[[#This Row],[Date]])</f>
        <v>2023</v>
      </c>
      <c r="L345" t="str">
        <f>"Q"&amp;ROUNDUP(MONTH(SalesData[[#This Row],[Date]])/3,0)</f>
        <v>Q1</v>
      </c>
      <c r="M345" s="1" t="d">
        <f>DATE(YEAR(SalesData[[#This Row],[Date]]),MONTH(SalesData[[#This Row],[Date]]),1)</f>
        <v>2023-01-01</v>
      </c>
      <c r="N34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46" spans="1:14">
      <c r="A346">
        <v>345</v>
      </c>
      <c r="B346" s="1" t="d">
        <v>2023-11-14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t="str">
        <f>TEXT(SalesData[[#This Row],[Date]],"yyyy-mm")</f>
        <v>2023-11</v>
      </c>
      <c r="K346">
        <f>YEAR(SalesData[[#This Row],[Date]])</f>
        <v>2023</v>
      </c>
      <c r="L346" t="str">
        <f>"Q"&amp;ROUNDUP(MONTH(SalesData[[#This Row],[Date]])/3,0)</f>
        <v>Q4</v>
      </c>
      <c r="M346" s="1" t="d">
        <f>DATE(YEAR(SalesData[[#This Row],[Date]]),MONTH(SalesData[[#This Row],[Date]]),1)</f>
        <v>2023-11-01</v>
      </c>
      <c r="N34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47" spans="1:14">
      <c r="A347">
        <v>346</v>
      </c>
      <c r="B347" s="1" t="d">
        <v>2023-02-11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t="str">
        <f>TEXT(SalesData[[#This Row],[Date]],"yyyy-mm")</f>
        <v>2023-02</v>
      </c>
      <c r="K347">
        <f>YEAR(SalesData[[#This Row],[Date]])</f>
        <v>2023</v>
      </c>
      <c r="L347" t="str">
        <f>"Q"&amp;ROUNDUP(MONTH(SalesData[[#This Row],[Date]])/3,0)</f>
        <v>Q1</v>
      </c>
      <c r="M347" s="1" t="d">
        <f>DATE(YEAR(SalesData[[#This Row],[Date]]),MONTH(SalesData[[#This Row],[Date]]),1)</f>
        <v>2023-02-01</v>
      </c>
      <c r="N34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48" spans="1:14">
      <c r="A348">
        <v>347</v>
      </c>
      <c r="B348" s="1" t="d">
        <v>2023-08-03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t="str">
        <f>TEXT(SalesData[[#This Row],[Date]],"yyyy-mm")</f>
        <v>2023-08</v>
      </c>
      <c r="K348">
        <f>YEAR(SalesData[[#This Row],[Date]])</f>
        <v>2023</v>
      </c>
      <c r="L348" t="str">
        <f>"Q"&amp;ROUNDUP(MONTH(SalesData[[#This Row],[Date]])/3,0)</f>
        <v>Q3</v>
      </c>
      <c r="M348" s="1" t="d">
        <f>DATE(YEAR(SalesData[[#This Row],[Date]]),MONTH(SalesData[[#This Row],[Date]]),1)</f>
        <v>2023-08-01</v>
      </c>
      <c r="N34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49" spans="1:14">
      <c r="A349">
        <v>348</v>
      </c>
      <c r="B349" s="1" t="d">
        <v>2023-12-03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t="str">
        <f>TEXT(SalesData[[#This Row],[Date]],"yyyy-mm")</f>
        <v>2023-12</v>
      </c>
      <c r="K349">
        <f>YEAR(SalesData[[#This Row],[Date]])</f>
        <v>2023</v>
      </c>
      <c r="L349" t="str">
        <f>"Q"&amp;ROUNDUP(MONTH(SalesData[[#This Row],[Date]])/3,0)</f>
        <v>Q4</v>
      </c>
      <c r="M349" s="1" t="d">
        <f>DATE(YEAR(SalesData[[#This Row],[Date]]),MONTH(SalesData[[#This Row],[Date]]),1)</f>
        <v>2023-12-01</v>
      </c>
      <c r="N34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50" spans="1:14">
      <c r="A350">
        <v>349</v>
      </c>
      <c r="B350" s="1" t="d">
        <v>2023-10-26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t="str">
        <f>TEXT(SalesData[[#This Row],[Date]],"yyyy-mm")</f>
        <v>2023-10</v>
      </c>
      <c r="K350">
        <f>YEAR(SalesData[[#This Row],[Date]])</f>
        <v>2023</v>
      </c>
      <c r="L350" t="str">
        <f>"Q"&amp;ROUNDUP(MONTH(SalesData[[#This Row],[Date]])/3,0)</f>
        <v>Q4</v>
      </c>
      <c r="M350" s="1" t="d">
        <f>DATE(YEAR(SalesData[[#This Row],[Date]]),MONTH(SalesData[[#This Row],[Date]]),1)</f>
        <v>2023-10-01</v>
      </c>
      <c r="N35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1" spans="1:14">
      <c r="A351">
        <v>350</v>
      </c>
      <c r="B351" s="1" t="d">
        <v>2023-10-17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t="str">
        <f>TEXT(SalesData[[#This Row],[Date]],"yyyy-mm")</f>
        <v>2023-10</v>
      </c>
      <c r="K351">
        <f>YEAR(SalesData[[#This Row],[Date]])</f>
        <v>2023</v>
      </c>
      <c r="L351" t="str">
        <f>"Q"&amp;ROUNDUP(MONTH(SalesData[[#This Row],[Date]])/3,0)</f>
        <v>Q4</v>
      </c>
      <c r="M351" s="1" t="d">
        <f>DATE(YEAR(SalesData[[#This Row],[Date]]),MONTH(SalesData[[#This Row],[Date]]),1)</f>
        <v>2023-10-01</v>
      </c>
      <c r="N35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52" spans="1:14">
      <c r="A352">
        <v>351</v>
      </c>
      <c r="B352" s="1" t="d">
        <v>2023-09-25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t="str">
        <f>TEXT(SalesData[[#This Row],[Date]],"yyyy-mm")</f>
        <v>2023-09</v>
      </c>
      <c r="K352">
        <f>YEAR(SalesData[[#This Row],[Date]])</f>
        <v>2023</v>
      </c>
      <c r="L352" t="str">
        <f>"Q"&amp;ROUNDUP(MONTH(SalesData[[#This Row],[Date]])/3,0)</f>
        <v>Q3</v>
      </c>
      <c r="M352" s="1" t="d">
        <f>DATE(YEAR(SalesData[[#This Row],[Date]]),MONTH(SalesData[[#This Row],[Date]]),1)</f>
        <v>2023-09-01</v>
      </c>
      <c r="N35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3" spans="1:14">
      <c r="A353">
        <v>352</v>
      </c>
      <c r="B353" s="1" t="d">
        <v>2023-06-11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t="str">
        <f>TEXT(SalesData[[#This Row],[Date]],"yyyy-mm")</f>
        <v>2023-06</v>
      </c>
      <c r="K353">
        <f>YEAR(SalesData[[#This Row],[Date]])</f>
        <v>2023</v>
      </c>
      <c r="L353" t="str">
        <f>"Q"&amp;ROUNDUP(MONTH(SalesData[[#This Row],[Date]])/3,0)</f>
        <v>Q2</v>
      </c>
      <c r="M353" s="1" t="d">
        <f>DATE(YEAR(SalesData[[#This Row],[Date]]),MONTH(SalesData[[#This Row],[Date]]),1)</f>
        <v>2023-06-01</v>
      </c>
      <c r="N35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4" spans="1:14">
      <c r="A354">
        <v>353</v>
      </c>
      <c r="B354" s="1" t="d">
        <v>2023-05-14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t="str">
        <f>TEXT(SalesData[[#This Row],[Date]],"yyyy-mm")</f>
        <v>2023-05</v>
      </c>
      <c r="K354">
        <f>YEAR(SalesData[[#This Row],[Date]])</f>
        <v>2023</v>
      </c>
      <c r="L354" t="str">
        <f>"Q"&amp;ROUNDUP(MONTH(SalesData[[#This Row],[Date]])/3,0)</f>
        <v>Q2</v>
      </c>
      <c r="M354" s="1" t="d">
        <f>DATE(YEAR(SalesData[[#This Row],[Date]]),MONTH(SalesData[[#This Row],[Date]]),1)</f>
        <v>2023-05-01</v>
      </c>
      <c r="N35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55" spans="1:14">
      <c r="A355">
        <v>354</v>
      </c>
      <c r="B355" s="1" t="d">
        <v>2023-04-15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t="str">
        <f>TEXT(SalesData[[#This Row],[Date]],"yyyy-mm")</f>
        <v>2023-04</v>
      </c>
      <c r="K355">
        <f>YEAR(SalesData[[#This Row],[Date]])</f>
        <v>2023</v>
      </c>
      <c r="L355" t="str">
        <f>"Q"&amp;ROUNDUP(MONTH(SalesData[[#This Row],[Date]])/3,0)</f>
        <v>Q2</v>
      </c>
      <c r="M355" s="1" t="d">
        <f>DATE(YEAR(SalesData[[#This Row],[Date]]),MONTH(SalesData[[#This Row],[Date]]),1)</f>
        <v>2023-04-01</v>
      </c>
      <c r="N3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56" spans="1:14">
      <c r="A356">
        <v>355</v>
      </c>
      <c r="B356" s="1" t="d">
        <v>2023-12-09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t="str">
        <f>TEXT(SalesData[[#This Row],[Date]],"yyyy-mm")</f>
        <v>2023-12</v>
      </c>
      <c r="K356">
        <f>YEAR(SalesData[[#This Row],[Date]])</f>
        <v>2023</v>
      </c>
      <c r="L356" t="str">
        <f>"Q"&amp;ROUNDUP(MONTH(SalesData[[#This Row],[Date]])/3,0)</f>
        <v>Q4</v>
      </c>
      <c r="M356" s="1" t="d">
        <f>DATE(YEAR(SalesData[[#This Row],[Date]]),MONTH(SalesData[[#This Row],[Date]]),1)</f>
        <v>2023-12-01</v>
      </c>
      <c r="N35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7" spans="1:14">
      <c r="A357">
        <v>356</v>
      </c>
      <c r="B357" s="1" t="d">
        <v>2023-06-10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t="str">
        <f>TEXT(SalesData[[#This Row],[Date]],"yyyy-mm")</f>
        <v>2023-06</v>
      </c>
      <c r="K357">
        <f>YEAR(SalesData[[#This Row],[Date]])</f>
        <v>2023</v>
      </c>
      <c r="L357" t="str">
        <f>"Q"&amp;ROUNDUP(MONTH(SalesData[[#This Row],[Date]])/3,0)</f>
        <v>Q2</v>
      </c>
      <c r="M357" s="1" t="d">
        <f>DATE(YEAR(SalesData[[#This Row],[Date]]),MONTH(SalesData[[#This Row],[Date]]),1)</f>
        <v>2023-06-01</v>
      </c>
      <c r="N35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58" spans="1:14">
      <c r="A358">
        <v>357</v>
      </c>
      <c r="B358" s="1" t="d">
        <v>2023-05-03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t="str">
        <f>TEXT(SalesData[[#This Row],[Date]],"yyyy-mm")</f>
        <v>2023-05</v>
      </c>
      <c r="K358">
        <f>YEAR(SalesData[[#This Row],[Date]])</f>
        <v>2023</v>
      </c>
      <c r="L358" t="str">
        <f>"Q"&amp;ROUNDUP(MONTH(SalesData[[#This Row],[Date]])/3,0)</f>
        <v>Q2</v>
      </c>
      <c r="M358" s="1" t="d">
        <f>DATE(YEAR(SalesData[[#This Row],[Date]]),MONTH(SalesData[[#This Row],[Date]]),1)</f>
        <v>2023-05-01</v>
      </c>
      <c r="N35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59" spans="1:14">
      <c r="A359">
        <v>358</v>
      </c>
      <c r="B359" s="1" t="d">
        <v>2023-05-16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t="str">
        <f>TEXT(SalesData[[#This Row],[Date]],"yyyy-mm")</f>
        <v>2023-05</v>
      </c>
      <c r="K359">
        <f>YEAR(SalesData[[#This Row],[Date]])</f>
        <v>2023</v>
      </c>
      <c r="L359" t="str">
        <f>"Q"&amp;ROUNDUP(MONTH(SalesData[[#This Row],[Date]])/3,0)</f>
        <v>Q2</v>
      </c>
      <c r="M359" s="1" t="d">
        <f>DATE(YEAR(SalesData[[#This Row],[Date]]),MONTH(SalesData[[#This Row],[Date]]),1)</f>
        <v>2023-05-01</v>
      </c>
      <c r="N35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60" spans="1:14">
      <c r="A360">
        <v>359</v>
      </c>
      <c r="B360" s="1" t="d">
        <v>2023-07-22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t="str">
        <f>TEXT(SalesData[[#This Row],[Date]],"yyyy-mm")</f>
        <v>2023-07</v>
      </c>
      <c r="K360">
        <f>YEAR(SalesData[[#This Row],[Date]])</f>
        <v>2023</v>
      </c>
      <c r="L360" t="str">
        <f>"Q"&amp;ROUNDUP(MONTH(SalesData[[#This Row],[Date]])/3,0)</f>
        <v>Q3</v>
      </c>
      <c r="M360" s="1" t="d">
        <f>DATE(YEAR(SalesData[[#This Row],[Date]]),MONTH(SalesData[[#This Row],[Date]]),1)</f>
        <v>2023-07-01</v>
      </c>
      <c r="N36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1" spans="1:14">
      <c r="A361">
        <v>360</v>
      </c>
      <c r="B361" s="1" t="d">
        <v>2023-03-09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t="str">
        <f>TEXT(SalesData[[#This Row],[Date]],"yyyy-mm")</f>
        <v>2023-03</v>
      </c>
      <c r="K361">
        <f>YEAR(SalesData[[#This Row],[Date]])</f>
        <v>2023</v>
      </c>
      <c r="L361" t="str">
        <f>"Q"&amp;ROUNDUP(MONTH(SalesData[[#This Row],[Date]])/3,0)</f>
        <v>Q1</v>
      </c>
      <c r="M361" s="1" t="d">
        <f>DATE(YEAR(SalesData[[#This Row],[Date]]),MONTH(SalesData[[#This Row],[Date]]),1)</f>
        <v>2023-03-01</v>
      </c>
      <c r="N36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62" spans="1:14">
      <c r="A362">
        <v>361</v>
      </c>
      <c r="B362" s="1" t="d">
        <v>2023-12-10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t="str">
        <f>TEXT(SalesData[[#This Row],[Date]],"yyyy-mm")</f>
        <v>2023-12</v>
      </c>
      <c r="K362">
        <f>YEAR(SalesData[[#This Row],[Date]])</f>
        <v>2023</v>
      </c>
      <c r="L362" t="str">
        <f>"Q"&amp;ROUNDUP(MONTH(SalesData[[#This Row],[Date]])/3,0)</f>
        <v>Q4</v>
      </c>
      <c r="M362" s="1" t="d">
        <f>DATE(YEAR(SalesData[[#This Row],[Date]]),MONTH(SalesData[[#This Row],[Date]]),1)</f>
        <v>2023-12-01</v>
      </c>
      <c r="N36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63" spans="1:14">
      <c r="A363">
        <v>362</v>
      </c>
      <c r="B363" s="1" t="d">
        <v>2023-11-27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t="str">
        <f>TEXT(SalesData[[#This Row],[Date]],"yyyy-mm")</f>
        <v>2023-11</v>
      </c>
      <c r="K363">
        <f>YEAR(SalesData[[#This Row],[Date]])</f>
        <v>2023</v>
      </c>
      <c r="L363" t="str">
        <f>"Q"&amp;ROUNDUP(MONTH(SalesData[[#This Row],[Date]])/3,0)</f>
        <v>Q4</v>
      </c>
      <c r="M363" s="1" t="d">
        <f>DATE(YEAR(SalesData[[#This Row],[Date]]),MONTH(SalesData[[#This Row],[Date]]),1)</f>
        <v>2023-11-01</v>
      </c>
      <c r="N36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4" spans="1:14">
      <c r="A364">
        <v>363</v>
      </c>
      <c r="B364" s="1" t="d">
        <v>2023-06-03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t="str">
        <f>TEXT(SalesData[[#This Row],[Date]],"yyyy-mm")</f>
        <v>2023-06</v>
      </c>
      <c r="K364">
        <f>YEAR(SalesData[[#This Row],[Date]])</f>
        <v>2023</v>
      </c>
      <c r="L364" t="str">
        <f>"Q"&amp;ROUNDUP(MONTH(SalesData[[#This Row],[Date]])/3,0)</f>
        <v>Q2</v>
      </c>
      <c r="M364" s="1" t="d">
        <f>DATE(YEAR(SalesData[[#This Row],[Date]]),MONTH(SalesData[[#This Row],[Date]]),1)</f>
        <v>2023-06-01</v>
      </c>
      <c r="N36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5" spans="1:14">
      <c r="A365">
        <v>364</v>
      </c>
      <c r="B365" s="1" t="d">
        <v>2023-08-23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t="str">
        <f>TEXT(SalesData[[#This Row],[Date]],"yyyy-mm")</f>
        <v>2023-08</v>
      </c>
      <c r="K365">
        <f>YEAR(SalesData[[#This Row],[Date]])</f>
        <v>2023</v>
      </c>
      <c r="L365" t="str">
        <f>"Q"&amp;ROUNDUP(MONTH(SalesData[[#This Row],[Date]])/3,0)</f>
        <v>Q3</v>
      </c>
      <c r="M365" s="1" t="d">
        <f>DATE(YEAR(SalesData[[#This Row],[Date]]),MONTH(SalesData[[#This Row],[Date]]),1)</f>
        <v>2023-08-01</v>
      </c>
      <c r="N36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66" spans="1:14">
      <c r="A366">
        <v>365</v>
      </c>
      <c r="B366" s="1" t="d">
        <v>2023-06-11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t="str">
        <f>TEXT(SalesData[[#This Row],[Date]],"yyyy-mm")</f>
        <v>2023-06</v>
      </c>
      <c r="K366">
        <f>YEAR(SalesData[[#This Row],[Date]])</f>
        <v>2023</v>
      </c>
      <c r="L366" t="str">
        <f>"Q"&amp;ROUNDUP(MONTH(SalesData[[#This Row],[Date]])/3,0)</f>
        <v>Q2</v>
      </c>
      <c r="M366" s="1" t="d">
        <f>DATE(YEAR(SalesData[[#This Row],[Date]]),MONTH(SalesData[[#This Row],[Date]]),1)</f>
        <v>2023-06-01</v>
      </c>
      <c r="N36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67" spans="1:14">
      <c r="A367">
        <v>366</v>
      </c>
      <c r="B367" s="1" t="d">
        <v>2023-02-07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t="str">
        <f>TEXT(SalesData[[#This Row],[Date]],"yyyy-mm")</f>
        <v>2023-02</v>
      </c>
      <c r="K367">
        <f>YEAR(SalesData[[#This Row],[Date]])</f>
        <v>2023</v>
      </c>
      <c r="L367" t="str">
        <f>"Q"&amp;ROUNDUP(MONTH(SalesData[[#This Row],[Date]])/3,0)</f>
        <v>Q1</v>
      </c>
      <c r="M367" s="1" t="d">
        <f>DATE(YEAR(SalesData[[#This Row],[Date]]),MONTH(SalesData[[#This Row],[Date]]),1)</f>
        <v>2023-02-01</v>
      </c>
      <c r="N36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8" spans="1:14">
      <c r="A368">
        <v>367</v>
      </c>
      <c r="B368" s="1" t="d">
        <v>2023-01-05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t="str">
        <f>TEXT(SalesData[[#This Row],[Date]],"yyyy-mm")</f>
        <v>2023-01</v>
      </c>
      <c r="K368">
        <f>YEAR(SalesData[[#This Row],[Date]])</f>
        <v>2023</v>
      </c>
      <c r="L368" t="str">
        <f>"Q"&amp;ROUNDUP(MONTH(SalesData[[#This Row],[Date]])/3,0)</f>
        <v>Q1</v>
      </c>
      <c r="M368" s="1" t="d">
        <f>DATE(YEAR(SalesData[[#This Row],[Date]]),MONTH(SalesData[[#This Row],[Date]]),1)</f>
        <v>2023-01-01</v>
      </c>
      <c r="N36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69" spans="1:14">
      <c r="A369">
        <v>368</v>
      </c>
      <c r="B369" s="1" t="d">
        <v>2023-08-23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t="str">
        <f>TEXT(SalesData[[#This Row],[Date]],"yyyy-mm")</f>
        <v>2023-08</v>
      </c>
      <c r="K369">
        <f>YEAR(SalesData[[#This Row],[Date]])</f>
        <v>2023</v>
      </c>
      <c r="L369" t="str">
        <f>"Q"&amp;ROUNDUP(MONTH(SalesData[[#This Row],[Date]])/3,0)</f>
        <v>Q3</v>
      </c>
      <c r="M369" s="1" t="d">
        <f>DATE(YEAR(SalesData[[#This Row],[Date]]),MONTH(SalesData[[#This Row],[Date]]),1)</f>
        <v>2023-08-01</v>
      </c>
      <c r="N36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70" spans="1:14">
      <c r="A370">
        <v>369</v>
      </c>
      <c r="B370" s="1" t="d">
        <v>2023-11-15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t="str">
        <f>TEXT(SalesData[[#This Row],[Date]],"yyyy-mm")</f>
        <v>2023-11</v>
      </c>
      <c r="K370">
        <f>YEAR(SalesData[[#This Row],[Date]])</f>
        <v>2023</v>
      </c>
      <c r="L370" t="str">
        <f>"Q"&amp;ROUNDUP(MONTH(SalesData[[#This Row],[Date]])/3,0)</f>
        <v>Q4</v>
      </c>
      <c r="M370" s="1" t="d">
        <f>DATE(YEAR(SalesData[[#This Row],[Date]]),MONTH(SalesData[[#This Row],[Date]]),1)</f>
        <v>2023-11-01</v>
      </c>
      <c r="N37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71" spans="1:14">
      <c r="A371">
        <v>370</v>
      </c>
      <c r="B371" s="1" t="d">
        <v>2023-10-16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t="str">
        <f>TEXT(SalesData[[#This Row],[Date]],"yyyy-mm")</f>
        <v>2023-10</v>
      </c>
      <c r="K371">
        <f>YEAR(SalesData[[#This Row],[Date]])</f>
        <v>2023</v>
      </c>
      <c r="L371" t="str">
        <f>"Q"&amp;ROUNDUP(MONTH(SalesData[[#This Row],[Date]])/3,0)</f>
        <v>Q4</v>
      </c>
      <c r="M371" s="1" t="d">
        <f>DATE(YEAR(SalesData[[#This Row],[Date]]),MONTH(SalesData[[#This Row],[Date]]),1)</f>
        <v>2023-10-01</v>
      </c>
      <c r="N37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72" spans="1:14">
      <c r="A372">
        <v>371</v>
      </c>
      <c r="B372" s="1" t="d">
        <v>2023-02-21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t="str">
        <f>TEXT(SalesData[[#This Row],[Date]],"yyyy-mm")</f>
        <v>2023-02</v>
      </c>
      <c r="K372">
        <f>YEAR(SalesData[[#This Row],[Date]])</f>
        <v>2023</v>
      </c>
      <c r="L372" t="str">
        <f>"Q"&amp;ROUNDUP(MONTH(SalesData[[#This Row],[Date]])/3,0)</f>
        <v>Q1</v>
      </c>
      <c r="M372" s="1" t="d">
        <f>DATE(YEAR(SalesData[[#This Row],[Date]]),MONTH(SalesData[[#This Row],[Date]]),1)</f>
        <v>2023-02-01</v>
      </c>
      <c r="N37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73" spans="1:14">
      <c r="A373">
        <v>372</v>
      </c>
      <c r="B373" s="1" t="d">
        <v>2023-02-07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t="str">
        <f>TEXT(SalesData[[#This Row],[Date]],"yyyy-mm")</f>
        <v>2023-02</v>
      </c>
      <c r="K373">
        <f>YEAR(SalesData[[#This Row],[Date]])</f>
        <v>2023</v>
      </c>
      <c r="L373" t="str">
        <f>"Q"&amp;ROUNDUP(MONTH(SalesData[[#This Row],[Date]])/3,0)</f>
        <v>Q1</v>
      </c>
      <c r="M373" s="1" t="d">
        <f>DATE(YEAR(SalesData[[#This Row],[Date]]),MONTH(SalesData[[#This Row],[Date]]),1)</f>
        <v>2023-02-01</v>
      </c>
      <c r="N37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74" spans="1:14">
      <c r="A374">
        <v>373</v>
      </c>
      <c r="B374" s="1" t="d">
        <v>2023-10-03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t="str">
        <f>TEXT(SalesData[[#This Row],[Date]],"yyyy-mm")</f>
        <v>2023-10</v>
      </c>
      <c r="K374">
        <f>YEAR(SalesData[[#This Row],[Date]])</f>
        <v>2023</v>
      </c>
      <c r="L374" t="str">
        <f>"Q"&amp;ROUNDUP(MONTH(SalesData[[#This Row],[Date]])/3,0)</f>
        <v>Q4</v>
      </c>
      <c r="M374" s="1" t="d">
        <f>DATE(YEAR(SalesData[[#This Row],[Date]]),MONTH(SalesData[[#This Row],[Date]]),1)</f>
        <v>2023-10-01</v>
      </c>
      <c r="N37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75" spans="1:14">
      <c r="A375">
        <v>374</v>
      </c>
      <c r="B375" s="1" t="d">
        <v>2023-04-20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t="str">
        <f>TEXT(SalesData[[#This Row],[Date]],"yyyy-mm")</f>
        <v>2023-04</v>
      </c>
      <c r="K375">
        <f>YEAR(SalesData[[#This Row],[Date]])</f>
        <v>2023</v>
      </c>
      <c r="L375" t="str">
        <f>"Q"&amp;ROUNDUP(MONTH(SalesData[[#This Row],[Date]])/3,0)</f>
        <v>Q2</v>
      </c>
      <c r="M375" s="1" t="d">
        <f>DATE(YEAR(SalesData[[#This Row],[Date]]),MONTH(SalesData[[#This Row],[Date]]),1)</f>
        <v>2023-04-01</v>
      </c>
      <c r="N37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76" spans="1:14">
      <c r="A376">
        <v>375</v>
      </c>
      <c r="B376" s="1" t="d">
        <v>2023-09-17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t="str">
        <f>TEXT(SalesData[[#This Row],[Date]],"yyyy-mm")</f>
        <v>2023-09</v>
      </c>
      <c r="K376">
        <f>YEAR(SalesData[[#This Row],[Date]])</f>
        <v>2023</v>
      </c>
      <c r="L376" t="str">
        <f>"Q"&amp;ROUNDUP(MONTH(SalesData[[#This Row],[Date]])/3,0)</f>
        <v>Q3</v>
      </c>
      <c r="M376" s="1" t="d">
        <f>DATE(YEAR(SalesData[[#This Row],[Date]]),MONTH(SalesData[[#This Row],[Date]]),1)</f>
        <v>2023-09-01</v>
      </c>
      <c r="N37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77" spans="1:14">
      <c r="A377">
        <v>376</v>
      </c>
      <c r="B377" s="1" t="d">
        <v>2023-05-16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t="str">
        <f>TEXT(SalesData[[#This Row],[Date]],"yyyy-mm")</f>
        <v>2023-05</v>
      </c>
      <c r="K377">
        <f>YEAR(SalesData[[#This Row],[Date]])</f>
        <v>2023</v>
      </c>
      <c r="L377" t="str">
        <f>"Q"&amp;ROUNDUP(MONTH(SalesData[[#This Row],[Date]])/3,0)</f>
        <v>Q2</v>
      </c>
      <c r="M377" s="1" t="d">
        <f>DATE(YEAR(SalesData[[#This Row],[Date]]),MONTH(SalesData[[#This Row],[Date]]),1)</f>
        <v>2023-05-01</v>
      </c>
      <c r="N37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78" spans="1:14">
      <c r="A378">
        <v>377</v>
      </c>
      <c r="B378" s="1" t="d">
        <v>2023-03-09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t="str">
        <f>TEXT(SalesData[[#This Row],[Date]],"yyyy-mm")</f>
        <v>2023-03</v>
      </c>
      <c r="K378">
        <f>YEAR(SalesData[[#This Row],[Date]])</f>
        <v>2023</v>
      </c>
      <c r="L378" t="str">
        <f>"Q"&amp;ROUNDUP(MONTH(SalesData[[#This Row],[Date]])/3,0)</f>
        <v>Q1</v>
      </c>
      <c r="M378" s="1" t="d">
        <f>DATE(YEAR(SalesData[[#This Row],[Date]]),MONTH(SalesData[[#This Row],[Date]]),1)</f>
        <v>2023-03-01</v>
      </c>
      <c r="N37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79" spans="1:14">
      <c r="A379">
        <v>378</v>
      </c>
      <c r="B379" s="1" t="d">
        <v>2023-06-28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t="str">
        <f>TEXT(SalesData[[#This Row],[Date]],"yyyy-mm")</f>
        <v>2023-06</v>
      </c>
      <c r="K379">
        <f>YEAR(SalesData[[#This Row],[Date]])</f>
        <v>2023</v>
      </c>
      <c r="L379" t="str">
        <f>"Q"&amp;ROUNDUP(MONTH(SalesData[[#This Row],[Date]])/3,0)</f>
        <v>Q2</v>
      </c>
      <c r="M379" s="1" t="d">
        <f>DATE(YEAR(SalesData[[#This Row],[Date]]),MONTH(SalesData[[#This Row],[Date]]),1)</f>
        <v>2023-06-01</v>
      </c>
      <c r="N37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0" spans="1:14">
      <c r="A380">
        <v>379</v>
      </c>
      <c r="B380" s="1" t="d">
        <v>2023-02-05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t="str">
        <f>TEXT(SalesData[[#This Row],[Date]],"yyyy-mm")</f>
        <v>2023-02</v>
      </c>
      <c r="K380">
        <f>YEAR(SalesData[[#This Row],[Date]])</f>
        <v>2023</v>
      </c>
      <c r="L380" t="str">
        <f>"Q"&amp;ROUNDUP(MONTH(SalesData[[#This Row],[Date]])/3,0)</f>
        <v>Q1</v>
      </c>
      <c r="M380" s="1" t="d">
        <f>DATE(YEAR(SalesData[[#This Row],[Date]]),MONTH(SalesData[[#This Row],[Date]]),1)</f>
        <v>2023-02-01</v>
      </c>
      <c r="N38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81" spans="1:14">
      <c r="A381">
        <v>380</v>
      </c>
      <c r="B381" s="1" t="d">
        <v>2023-05-06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t="str">
        <f>TEXT(SalesData[[#This Row],[Date]],"yyyy-mm")</f>
        <v>2023-05</v>
      </c>
      <c r="K381">
        <f>YEAR(SalesData[[#This Row],[Date]])</f>
        <v>2023</v>
      </c>
      <c r="L381" t="str">
        <f>"Q"&amp;ROUNDUP(MONTH(SalesData[[#This Row],[Date]])/3,0)</f>
        <v>Q2</v>
      </c>
      <c r="M381" s="1" t="d">
        <f>DATE(YEAR(SalesData[[#This Row],[Date]]),MONTH(SalesData[[#This Row],[Date]]),1)</f>
        <v>2023-05-01</v>
      </c>
      <c r="N38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2" spans="1:14">
      <c r="A382">
        <v>381</v>
      </c>
      <c r="B382" s="1" t="d">
        <v>2023-07-09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t="str">
        <f>TEXT(SalesData[[#This Row],[Date]],"yyyy-mm")</f>
        <v>2023-07</v>
      </c>
      <c r="K382">
        <f>YEAR(SalesData[[#This Row],[Date]])</f>
        <v>2023</v>
      </c>
      <c r="L382" t="str">
        <f>"Q"&amp;ROUNDUP(MONTH(SalesData[[#This Row],[Date]])/3,0)</f>
        <v>Q3</v>
      </c>
      <c r="M382" s="1" t="d">
        <f>DATE(YEAR(SalesData[[#This Row],[Date]]),MONTH(SalesData[[#This Row],[Date]]),1)</f>
        <v>2023-07-01</v>
      </c>
      <c r="N38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83" spans="1:14">
      <c r="A383">
        <v>382</v>
      </c>
      <c r="B383" s="1" t="d">
        <v>2023-05-26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t="str">
        <f>TEXT(SalesData[[#This Row],[Date]],"yyyy-mm")</f>
        <v>2023-05</v>
      </c>
      <c r="K383">
        <f>YEAR(SalesData[[#This Row],[Date]])</f>
        <v>2023</v>
      </c>
      <c r="L383" t="str">
        <f>"Q"&amp;ROUNDUP(MONTH(SalesData[[#This Row],[Date]])/3,0)</f>
        <v>Q2</v>
      </c>
      <c r="M383" s="1" t="d">
        <f>DATE(YEAR(SalesData[[#This Row],[Date]]),MONTH(SalesData[[#This Row],[Date]]),1)</f>
        <v>2023-05-01</v>
      </c>
      <c r="N38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4" spans="1:14">
      <c r="A384">
        <v>383</v>
      </c>
      <c r="B384" s="1" t="d">
        <v>2023-03-22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t="str">
        <f>TEXT(SalesData[[#This Row],[Date]],"yyyy-mm")</f>
        <v>2023-03</v>
      </c>
      <c r="K384">
        <f>YEAR(SalesData[[#This Row],[Date]])</f>
        <v>2023</v>
      </c>
      <c r="L384" t="str">
        <f>"Q"&amp;ROUNDUP(MONTH(SalesData[[#This Row],[Date]])/3,0)</f>
        <v>Q1</v>
      </c>
      <c r="M384" s="1" t="d">
        <f>DATE(YEAR(SalesData[[#This Row],[Date]]),MONTH(SalesData[[#This Row],[Date]]),1)</f>
        <v>2023-03-01</v>
      </c>
      <c r="N38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85" spans="1:14">
      <c r="A385">
        <v>384</v>
      </c>
      <c r="B385" s="1" t="d">
        <v>2023-08-13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t="str">
        <f>TEXT(SalesData[[#This Row],[Date]],"yyyy-mm")</f>
        <v>2023-08</v>
      </c>
      <c r="K385">
        <f>YEAR(SalesData[[#This Row],[Date]])</f>
        <v>2023</v>
      </c>
      <c r="L385" t="str">
        <f>"Q"&amp;ROUNDUP(MONTH(SalesData[[#This Row],[Date]])/3,0)</f>
        <v>Q3</v>
      </c>
      <c r="M385" s="1" t="d">
        <f>DATE(YEAR(SalesData[[#This Row],[Date]]),MONTH(SalesData[[#This Row],[Date]]),1)</f>
        <v>2023-08-01</v>
      </c>
      <c r="N38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6" spans="1:14">
      <c r="A386">
        <v>385</v>
      </c>
      <c r="B386" s="1" t="d">
        <v>2023-10-06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t="str">
        <f>TEXT(SalesData[[#This Row],[Date]],"yyyy-mm")</f>
        <v>2023-10</v>
      </c>
      <c r="K386">
        <f>YEAR(SalesData[[#This Row],[Date]])</f>
        <v>2023</v>
      </c>
      <c r="L386" t="str">
        <f>"Q"&amp;ROUNDUP(MONTH(SalesData[[#This Row],[Date]])/3,0)</f>
        <v>Q4</v>
      </c>
      <c r="M386" s="1" t="d">
        <f>DATE(YEAR(SalesData[[#This Row],[Date]]),MONTH(SalesData[[#This Row],[Date]]),1)</f>
        <v>2023-10-01</v>
      </c>
      <c r="N38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7" spans="1:14">
      <c r="A387">
        <v>386</v>
      </c>
      <c r="B387" s="1" t="d">
        <v>2023-12-27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t="str">
        <f>TEXT(SalesData[[#This Row],[Date]],"yyyy-mm")</f>
        <v>2023-12</v>
      </c>
      <c r="K387">
        <f>YEAR(SalesData[[#This Row],[Date]])</f>
        <v>2023</v>
      </c>
      <c r="L387" t="str">
        <f>"Q"&amp;ROUNDUP(MONTH(SalesData[[#This Row],[Date]])/3,0)</f>
        <v>Q4</v>
      </c>
      <c r="M387" s="1" t="d">
        <f>DATE(YEAR(SalesData[[#This Row],[Date]]),MONTH(SalesData[[#This Row],[Date]]),1)</f>
        <v>2023-12-01</v>
      </c>
      <c r="N38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88" spans="1:14">
      <c r="A388">
        <v>387</v>
      </c>
      <c r="B388" s="1" t="d">
        <v>2023-06-04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t="str">
        <f>TEXT(SalesData[[#This Row],[Date]],"yyyy-mm")</f>
        <v>2023-06</v>
      </c>
      <c r="K388">
        <f>YEAR(SalesData[[#This Row],[Date]])</f>
        <v>2023</v>
      </c>
      <c r="L388" t="str">
        <f>"Q"&amp;ROUNDUP(MONTH(SalesData[[#This Row],[Date]])/3,0)</f>
        <v>Q2</v>
      </c>
      <c r="M388" s="1" t="d">
        <f>DATE(YEAR(SalesData[[#This Row],[Date]]),MONTH(SalesData[[#This Row],[Date]]),1)</f>
        <v>2023-06-01</v>
      </c>
      <c r="N38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389" spans="1:14">
      <c r="A389">
        <v>388</v>
      </c>
      <c r="B389" s="1" t="d">
        <v>2023-11-10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t="str">
        <f>TEXT(SalesData[[#This Row],[Date]],"yyyy-mm")</f>
        <v>2023-11</v>
      </c>
      <c r="K389">
        <f>YEAR(SalesData[[#This Row],[Date]])</f>
        <v>2023</v>
      </c>
      <c r="L389" t="str">
        <f>"Q"&amp;ROUNDUP(MONTH(SalesData[[#This Row],[Date]])/3,0)</f>
        <v>Q4</v>
      </c>
      <c r="M389" s="1" t="d">
        <f>DATE(YEAR(SalesData[[#This Row],[Date]]),MONTH(SalesData[[#This Row],[Date]]),1)</f>
        <v>2023-11-01</v>
      </c>
      <c r="N3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90" spans="1:14">
      <c r="A390">
        <v>389</v>
      </c>
      <c r="B390" s="1" t="d">
        <v>2023-12-01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t="str">
        <f>TEXT(SalesData[[#This Row],[Date]],"yyyy-mm")</f>
        <v>2023-12</v>
      </c>
      <c r="K390">
        <f>YEAR(SalesData[[#This Row],[Date]])</f>
        <v>2023</v>
      </c>
      <c r="L390" t="str">
        <f>"Q"&amp;ROUNDUP(MONTH(SalesData[[#This Row],[Date]])/3,0)</f>
        <v>Q4</v>
      </c>
      <c r="M390" s="1" t="d">
        <f>DATE(YEAR(SalesData[[#This Row],[Date]]),MONTH(SalesData[[#This Row],[Date]]),1)</f>
        <v>2023-12-01</v>
      </c>
      <c r="N39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91" spans="1:14">
      <c r="A391">
        <v>390</v>
      </c>
      <c r="B391" s="1" t="d">
        <v>2023-09-28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t="str">
        <f>TEXT(SalesData[[#This Row],[Date]],"yyyy-mm")</f>
        <v>2023-09</v>
      </c>
      <c r="K391">
        <f>YEAR(SalesData[[#This Row],[Date]])</f>
        <v>2023</v>
      </c>
      <c r="L391" t="str">
        <f>"Q"&amp;ROUNDUP(MONTH(SalesData[[#This Row],[Date]])/3,0)</f>
        <v>Q3</v>
      </c>
      <c r="M391" s="1" t="d">
        <f>DATE(YEAR(SalesData[[#This Row],[Date]]),MONTH(SalesData[[#This Row],[Date]]),1)</f>
        <v>2023-09-01</v>
      </c>
      <c r="N39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92" spans="1:14">
      <c r="A392">
        <v>391</v>
      </c>
      <c r="B392" s="1" t="d">
        <v>2023-01-05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t="str">
        <f>TEXT(SalesData[[#This Row],[Date]],"yyyy-mm")</f>
        <v>2023-01</v>
      </c>
      <c r="K392">
        <f>YEAR(SalesData[[#This Row],[Date]])</f>
        <v>2023</v>
      </c>
      <c r="L392" t="str">
        <f>"Q"&amp;ROUNDUP(MONTH(SalesData[[#This Row],[Date]])/3,0)</f>
        <v>Q1</v>
      </c>
      <c r="M392" s="1" t="d">
        <f>DATE(YEAR(SalesData[[#This Row],[Date]]),MONTH(SalesData[[#This Row],[Date]]),1)</f>
        <v>2023-01-01</v>
      </c>
      <c r="N392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393" spans="1:14">
      <c r="A393">
        <v>392</v>
      </c>
      <c r="B393" s="1" t="d">
        <v>2023-12-08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t="str">
        <f>TEXT(SalesData[[#This Row],[Date]],"yyyy-mm")</f>
        <v>2023-12</v>
      </c>
      <c r="K393">
        <f>YEAR(SalesData[[#This Row],[Date]])</f>
        <v>2023</v>
      </c>
      <c r="L393" t="str">
        <f>"Q"&amp;ROUNDUP(MONTH(SalesData[[#This Row],[Date]])/3,0)</f>
        <v>Q4</v>
      </c>
      <c r="M393" s="1" t="d">
        <f>DATE(YEAR(SalesData[[#This Row],[Date]]),MONTH(SalesData[[#This Row],[Date]]),1)</f>
        <v>2023-12-01</v>
      </c>
      <c r="N39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94" spans="1:14">
      <c r="A394">
        <v>393</v>
      </c>
      <c r="B394" s="1" t="d">
        <v>2023-10-11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t="str">
        <f>TEXT(SalesData[[#This Row],[Date]],"yyyy-mm")</f>
        <v>2023-10</v>
      </c>
      <c r="K394">
        <f>YEAR(SalesData[[#This Row],[Date]])</f>
        <v>2023</v>
      </c>
      <c r="L394" t="str">
        <f>"Q"&amp;ROUNDUP(MONTH(SalesData[[#This Row],[Date]])/3,0)</f>
        <v>Q4</v>
      </c>
      <c r="M394" s="1" t="d">
        <f>DATE(YEAR(SalesData[[#This Row],[Date]]),MONTH(SalesData[[#This Row],[Date]]),1)</f>
        <v>2023-10-01</v>
      </c>
      <c r="N39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95" spans="1:14">
      <c r="A395">
        <v>394</v>
      </c>
      <c r="B395" s="1" t="d">
        <v>2023-06-03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t="str">
        <f>TEXT(SalesData[[#This Row],[Date]],"yyyy-mm")</f>
        <v>2023-06</v>
      </c>
      <c r="K395">
        <f>YEAR(SalesData[[#This Row],[Date]])</f>
        <v>2023</v>
      </c>
      <c r="L395" t="str">
        <f>"Q"&amp;ROUNDUP(MONTH(SalesData[[#This Row],[Date]])/3,0)</f>
        <v>Q2</v>
      </c>
      <c r="M395" s="1" t="d">
        <f>DATE(YEAR(SalesData[[#This Row],[Date]]),MONTH(SalesData[[#This Row],[Date]]),1)</f>
        <v>2023-06-01</v>
      </c>
      <c r="N39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396" spans="1:14">
      <c r="A396">
        <v>395</v>
      </c>
      <c r="B396" s="1" t="d">
        <v>2023-12-06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t="str">
        <f>TEXT(SalesData[[#This Row],[Date]],"yyyy-mm")</f>
        <v>2023-12</v>
      </c>
      <c r="K396">
        <f>YEAR(SalesData[[#This Row],[Date]])</f>
        <v>2023</v>
      </c>
      <c r="L396" t="str">
        <f>"Q"&amp;ROUNDUP(MONTH(SalesData[[#This Row],[Date]])/3,0)</f>
        <v>Q4</v>
      </c>
      <c r="M396" s="1" t="d">
        <f>DATE(YEAR(SalesData[[#This Row],[Date]]),MONTH(SalesData[[#This Row],[Date]]),1)</f>
        <v>2023-12-01</v>
      </c>
      <c r="N39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97" spans="1:14">
      <c r="A397">
        <v>396</v>
      </c>
      <c r="B397" s="1" t="d">
        <v>2023-02-23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t="str">
        <f>TEXT(SalesData[[#This Row],[Date]],"yyyy-mm")</f>
        <v>2023-02</v>
      </c>
      <c r="K397">
        <f>YEAR(SalesData[[#This Row],[Date]])</f>
        <v>2023</v>
      </c>
      <c r="L397" t="str">
        <f>"Q"&amp;ROUNDUP(MONTH(SalesData[[#This Row],[Date]])/3,0)</f>
        <v>Q1</v>
      </c>
      <c r="M397" s="1" t="d">
        <f>DATE(YEAR(SalesData[[#This Row],[Date]]),MONTH(SalesData[[#This Row],[Date]]),1)</f>
        <v>2023-02-01</v>
      </c>
      <c r="N39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398" spans="1:14">
      <c r="A398">
        <v>397</v>
      </c>
      <c r="B398" s="1" t="d">
        <v>2023-03-10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t="str">
        <f>TEXT(SalesData[[#This Row],[Date]],"yyyy-mm")</f>
        <v>2023-03</v>
      </c>
      <c r="K398">
        <f>YEAR(SalesData[[#This Row],[Date]])</f>
        <v>2023</v>
      </c>
      <c r="L398" t="str">
        <f>"Q"&amp;ROUNDUP(MONTH(SalesData[[#This Row],[Date]])/3,0)</f>
        <v>Q1</v>
      </c>
      <c r="M398" s="1" t="d">
        <f>DATE(YEAR(SalesData[[#This Row],[Date]]),MONTH(SalesData[[#This Row],[Date]]),1)</f>
        <v>2023-03-01</v>
      </c>
      <c r="N39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399" spans="1:14">
      <c r="A399">
        <v>398</v>
      </c>
      <c r="B399" s="1" t="d">
        <v>2023-05-16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t="str">
        <f>TEXT(SalesData[[#This Row],[Date]],"yyyy-mm")</f>
        <v>2023-05</v>
      </c>
      <c r="K399">
        <f>YEAR(SalesData[[#This Row],[Date]])</f>
        <v>2023</v>
      </c>
      <c r="L399" t="str">
        <f>"Q"&amp;ROUNDUP(MONTH(SalesData[[#This Row],[Date]])/3,0)</f>
        <v>Q2</v>
      </c>
      <c r="M399" s="1" t="d">
        <f>DATE(YEAR(SalesData[[#This Row],[Date]]),MONTH(SalesData[[#This Row],[Date]]),1)</f>
        <v>2023-05-01</v>
      </c>
      <c r="N39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00" spans="1:14">
      <c r="A400">
        <v>399</v>
      </c>
      <c r="B400" s="1" t="d">
        <v>2023-03-01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t="str">
        <f>TEXT(SalesData[[#This Row],[Date]],"yyyy-mm")</f>
        <v>2023-03</v>
      </c>
      <c r="K400">
        <f>YEAR(SalesData[[#This Row],[Date]])</f>
        <v>2023</v>
      </c>
      <c r="L400" t="str">
        <f>"Q"&amp;ROUNDUP(MONTH(SalesData[[#This Row],[Date]])/3,0)</f>
        <v>Q1</v>
      </c>
      <c r="M400" s="1" t="d">
        <f>DATE(YEAR(SalesData[[#This Row],[Date]]),MONTH(SalesData[[#This Row],[Date]]),1)</f>
        <v>2023-03-01</v>
      </c>
      <c r="N40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01" spans="1:14">
      <c r="A401">
        <v>400</v>
      </c>
      <c r="B401" s="1" t="d">
        <v>2023-02-24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t="str">
        <f>TEXT(SalesData[[#This Row],[Date]],"yyyy-mm")</f>
        <v>2023-02</v>
      </c>
      <c r="K401">
        <f>YEAR(SalesData[[#This Row],[Date]])</f>
        <v>2023</v>
      </c>
      <c r="L401" t="str">
        <f>"Q"&amp;ROUNDUP(MONTH(SalesData[[#This Row],[Date]])/3,0)</f>
        <v>Q1</v>
      </c>
      <c r="M401" s="1" t="d">
        <f>DATE(YEAR(SalesData[[#This Row],[Date]]),MONTH(SalesData[[#This Row],[Date]]),1)</f>
        <v>2023-02-01</v>
      </c>
      <c r="N40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02" spans="1:14">
      <c r="A402">
        <v>401</v>
      </c>
      <c r="B402" s="1" t="d">
        <v>2023-10-11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t="str">
        <f>TEXT(SalesData[[#This Row],[Date]],"yyyy-mm")</f>
        <v>2023-10</v>
      </c>
      <c r="K402">
        <f>YEAR(SalesData[[#This Row],[Date]])</f>
        <v>2023</v>
      </c>
      <c r="L402" t="str">
        <f>"Q"&amp;ROUNDUP(MONTH(SalesData[[#This Row],[Date]])/3,0)</f>
        <v>Q4</v>
      </c>
      <c r="M402" s="1" t="d">
        <f>DATE(YEAR(SalesData[[#This Row],[Date]]),MONTH(SalesData[[#This Row],[Date]]),1)</f>
        <v>2023-10-01</v>
      </c>
      <c r="N40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03" spans="1:14">
      <c r="A403">
        <v>402</v>
      </c>
      <c r="B403" s="1" t="d">
        <v>2023-03-21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t="str">
        <f>TEXT(SalesData[[#This Row],[Date]],"yyyy-mm")</f>
        <v>2023-03</v>
      </c>
      <c r="K403">
        <f>YEAR(SalesData[[#This Row],[Date]])</f>
        <v>2023</v>
      </c>
      <c r="L403" t="str">
        <f>"Q"&amp;ROUNDUP(MONTH(SalesData[[#This Row],[Date]])/3,0)</f>
        <v>Q1</v>
      </c>
      <c r="M403" s="1" t="d">
        <f>DATE(YEAR(SalesData[[#This Row],[Date]]),MONTH(SalesData[[#This Row],[Date]]),1)</f>
        <v>2023-03-01</v>
      </c>
      <c r="N40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04" spans="1:14">
      <c r="A404">
        <v>403</v>
      </c>
      <c r="B404" s="1" t="d">
        <v>2023-05-20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t="str">
        <f>TEXT(SalesData[[#This Row],[Date]],"yyyy-mm")</f>
        <v>2023-05</v>
      </c>
      <c r="K404">
        <f>YEAR(SalesData[[#This Row],[Date]])</f>
        <v>2023</v>
      </c>
      <c r="L404" t="str">
        <f>"Q"&amp;ROUNDUP(MONTH(SalesData[[#This Row],[Date]])/3,0)</f>
        <v>Q2</v>
      </c>
      <c r="M404" s="1" t="d">
        <f>DATE(YEAR(SalesData[[#This Row],[Date]]),MONTH(SalesData[[#This Row],[Date]]),1)</f>
        <v>2023-05-01</v>
      </c>
      <c r="N40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05" spans="1:14">
      <c r="A405">
        <v>404</v>
      </c>
      <c r="B405" s="1" t="d">
        <v>2023-05-25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t="str">
        <f>TEXT(SalesData[[#This Row],[Date]],"yyyy-mm")</f>
        <v>2023-05</v>
      </c>
      <c r="K405">
        <f>YEAR(SalesData[[#This Row],[Date]])</f>
        <v>2023</v>
      </c>
      <c r="L405" t="str">
        <f>"Q"&amp;ROUNDUP(MONTH(SalesData[[#This Row],[Date]])/3,0)</f>
        <v>Q2</v>
      </c>
      <c r="M405" s="1" t="d">
        <f>DATE(YEAR(SalesData[[#This Row],[Date]]),MONTH(SalesData[[#This Row],[Date]]),1)</f>
        <v>2023-05-01</v>
      </c>
      <c r="N40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06" spans="1:14">
      <c r="A406">
        <v>405</v>
      </c>
      <c r="B406" s="1" t="d">
        <v>2023-11-06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t="str">
        <f>TEXT(SalesData[[#This Row],[Date]],"yyyy-mm")</f>
        <v>2023-11</v>
      </c>
      <c r="K406">
        <f>YEAR(SalesData[[#This Row],[Date]])</f>
        <v>2023</v>
      </c>
      <c r="L406" t="str">
        <f>"Q"&amp;ROUNDUP(MONTH(SalesData[[#This Row],[Date]])/3,0)</f>
        <v>Q4</v>
      </c>
      <c r="M406" s="1" t="d">
        <f>DATE(YEAR(SalesData[[#This Row],[Date]]),MONTH(SalesData[[#This Row],[Date]]),1)</f>
        <v>2023-11-01</v>
      </c>
      <c r="N40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07" spans="1:14">
      <c r="A407">
        <v>406</v>
      </c>
      <c r="B407" s="1" t="d">
        <v>2023-04-18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t="str">
        <f>TEXT(SalesData[[#This Row],[Date]],"yyyy-mm")</f>
        <v>2023-04</v>
      </c>
      <c r="K407">
        <f>YEAR(SalesData[[#This Row],[Date]])</f>
        <v>2023</v>
      </c>
      <c r="L407" t="str">
        <f>"Q"&amp;ROUNDUP(MONTH(SalesData[[#This Row],[Date]])/3,0)</f>
        <v>Q2</v>
      </c>
      <c r="M407" s="1" t="d">
        <f>DATE(YEAR(SalesData[[#This Row],[Date]]),MONTH(SalesData[[#This Row],[Date]]),1)</f>
        <v>2023-04-01</v>
      </c>
      <c r="N40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08" spans="1:14">
      <c r="A408">
        <v>407</v>
      </c>
      <c r="B408" s="1" t="d">
        <v>2023-06-25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t="str">
        <f>TEXT(SalesData[[#This Row],[Date]],"yyyy-mm")</f>
        <v>2023-06</v>
      </c>
      <c r="K408">
        <f>YEAR(SalesData[[#This Row],[Date]])</f>
        <v>2023</v>
      </c>
      <c r="L408" t="str">
        <f>"Q"&amp;ROUNDUP(MONTH(SalesData[[#This Row],[Date]])/3,0)</f>
        <v>Q2</v>
      </c>
      <c r="M408" s="1" t="d">
        <f>DATE(YEAR(SalesData[[#This Row],[Date]]),MONTH(SalesData[[#This Row],[Date]]),1)</f>
        <v>2023-06-01</v>
      </c>
      <c r="N40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09" spans="1:14">
      <c r="A409">
        <v>408</v>
      </c>
      <c r="B409" s="1" t="d">
        <v>2023-04-15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t="str">
        <f>TEXT(SalesData[[#This Row],[Date]],"yyyy-mm")</f>
        <v>2023-04</v>
      </c>
      <c r="K409">
        <f>YEAR(SalesData[[#This Row],[Date]])</f>
        <v>2023</v>
      </c>
      <c r="L409" t="str">
        <f>"Q"&amp;ROUNDUP(MONTH(SalesData[[#This Row],[Date]])/3,0)</f>
        <v>Q2</v>
      </c>
      <c r="M409" s="1" t="d">
        <f>DATE(YEAR(SalesData[[#This Row],[Date]]),MONTH(SalesData[[#This Row],[Date]]),1)</f>
        <v>2023-04-01</v>
      </c>
      <c r="N40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10" spans="1:14">
      <c r="A410">
        <v>409</v>
      </c>
      <c r="B410" s="1" t="d">
        <v>2023-12-18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t="str">
        <f>TEXT(SalesData[[#This Row],[Date]],"yyyy-mm")</f>
        <v>2023-12</v>
      </c>
      <c r="K410">
        <f>YEAR(SalesData[[#This Row],[Date]])</f>
        <v>2023</v>
      </c>
      <c r="L410" t="str">
        <f>"Q"&amp;ROUNDUP(MONTH(SalesData[[#This Row],[Date]])/3,0)</f>
        <v>Q4</v>
      </c>
      <c r="M410" s="1" t="d">
        <f>DATE(YEAR(SalesData[[#This Row],[Date]]),MONTH(SalesData[[#This Row],[Date]]),1)</f>
        <v>2023-12-01</v>
      </c>
      <c r="N41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11" spans="1:14">
      <c r="A411">
        <v>410</v>
      </c>
      <c r="B411" s="1" t="d">
        <v>2023-11-21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t="str">
        <f>TEXT(SalesData[[#This Row],[Date]],"yyyy-mm")</f>
        <v>2023-11</v>
      </c>
      <c r="K411">
        <f>YEAR(SalesData[[#This Row],[Date]])</f>
        <v>2023</v>
      </c>
      <c r="L411" t="str">
        <f>"Q"&amp;ROUNDUP(MONTH(SalesData[[#This Row],[Date]])/3,0)</f>
        <v>Q4</v>
      </c>
      <c r="M411" s="1" t="d">
        <f>DATE(YEAR(SalesData[[#This Row],[Date]]),MONTH(SalesData[[#This Row],[Date]]),1)</f>
        <v>2023-11-01</v>
      </c>
      <c r="N4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12" spans="1:14">
      <c r="A412">
        <v>411</v>
      </c>
      <c r="B412" s="1" t="d">
        <v>2023-05-16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t="str">
        <f>TEXT(SalesData[[#This Row],[Date]],"yyyy-mm")</f>
        <v>2023-05</v>
      </c>
      <c r="K412">
        <f>YEAR(SalesData[[#This Row],[Date]])</f>
        <v>2023</v>
      </c>
      <c r="L412" t="str">
        <f>"Q"&amp;ROUNDUP(MONTH(SalesData[[#This Row],[Date]])/3,0)</f>
        <v>Q2</v>
      </c>
      <c r="M412" s="1" t="d">
        <f>DATE(YEAR(SalesData[[#This Row],[Date]]),MONTH(SalesData[[#This Row],[Date]]),1)</f>
        <v>2023-05-01</v>
      </c>
      <c r="N41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13" spans="1:14">
      <c r="A413">
        <v>412</v>
      </c>
      <c r="B413" s="1" t="d">
        <v>2023-09-16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t="str">
        <f>TEXT(SalesData[[#This Row],[Date]],"yyyy-mm")</f>
        <v>2023-09</v>
      </c>
      <c r="K413">
        <f>YEAR(SalesData[[#This Row],[Date]])</f>
        <v>2023</v>
      </c>
      <c r="L413" t="str">
        <f>"Q"&amp;ROUNDUP(MONTH(SalesData[[#This Row],[Date]])/3,0)</f>
        <v>Q3</v>
      </c>
      <c r="M413" s="1" t="d">
        <f>DATE(YEAR(SalesData[[#This Row],[Date]]),MONTH(SalesData[[#This Row],[Date]]),1)</f>
        <v>2023-09-01</v>
      </c>
      <c r="N413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414" spans="1:14">
      <c r="A414">
        <v>413</v>
      </c>
      <c r="B414" s="1" t="d">
        <v>2023-09-08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t="str">
        <f>TEXT(SalesData[[#This Row],[Date]],"yyyy-mm")</f>
        <v>2023-09</v>
      </c>
      <c r="K414">
        <f>YEAR(SalesData[[#This Row],[Date]])</f>
        <v>2023</v>
      </c>
      <c r="L414" t="str">
        <f>"Q"&amp;ROUNDUP(MONTH(SalesData[[#This Row],[Date]])/3,0)</f>
        <v>Q3</v>
      </c>
      <c r="M414" s="1" t="d">
        <f>DATE(YEAR(SalesData[[#This Row],[Date]]),MONTH(SalesData[[#This Row],[Date]]),1)</f>
        <v>2023-09-01</v>
      </c>
      <c r="N41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15" spans="1:14">
      <c r="A415">
        <v>414</v>
      </c>
      <c r="B415" s="1" t="d">
        <v>2023-05-09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t="str">
        <f>TEXT(SalesData[[#This Row],[Date]],"yyyy-mm")</f>
        <v>2023-05</v>
      </c>
      <c r="K415">
        <f>YEAR(SalesData[[#This Row],[Date]])</f>
        <v>2023</v>
      </c>
      <c r="L415" t="str">
        <f>"Q"&amp;ROUNDUP(MONTH(SalesData[[#This Row],[Date]])/3,0)</f>
        <v>Q2</v>
      </c>
      <c r="M415" s="1" t="d">
        <f>DATE(YEAR(SalesData[[#This Row],[Date]]),MONTH(SalesData[[#This Row],[Date]]),1)</f>
        <v>2023-05-01</v>
      </c>
      <c r="N41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16" spans="1:14">
      <c r="A416">
        <v>415</v>
      </c>
      <c r="B416" s="1" t="d">
        <v>2023-01-27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t="str">
        <f>TEXT(SalesData[[#This Row],[Date]],"yyyy-mm")</f>
        <v>2023-01</v>
      </c>
      <c r="K416">
        <f>YEAR(SalesData[[#This Row],[Date]])</f>
        <v>2023</v>
      </c>
      <c r="L416" t="str">
        <f>"Q"&amp;ROUNDUP(MONTH(SalesData[[#This Row],[Date]])/3,0)</f>
        <v>Q1</v>
      </c>
      <c r="M416" s="1" t="d">
        <f>DATE(YEAR(SalesData[[#This Row],[Date]]),MONTH(SalesData[[#This Row],[Date]]),1)</f>
        <v>2023-01-01</v>
      </c>
      <c r="N41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17" spans="1:14">
      <c r="A417">
        <v>416</v>
      </c>
      <c r="B417" s="1" t="d">
        <v>2023-02-17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t="str">
        <f>TEXT(SalesData[[#This Row],[Date]],"yyyy-mm")</f>
        <v>2023-02</v>
      </c>
      <c r="K417">
        <f>YEAR(SalesData[[#This Row],[Date]])</f>
        <v>2023</v>
      </c>
      <c r="L417" t="str">
        <f>"Q"&amp;ROUNDUP(MONTH(SalesData[[#This Row],[Date]])/3,0)</f>
        <v>Q1</v>
      </c>
      <c r="M417" s="1" t="d">
        <f>DATE(YEAR(SalesData[[#This Row],[Date]]),MONTH(SalesData[[#This Row],[Date]]),1)</f>
        <v>2023-02-01</v>
      </c>
      <c r="N41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18" spans="1:14">
      <c r="A418">
        <v>417</v>
      </c>
      <c r="B418" s="1" t="d">
        <v>2023-11-21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t="str">
        <f>TEXT(SalesData[[#This Row],[Date]],"yyyy-mm")</f>
        <v>2023-11</v>
      </c>
      <c r="K418">
        <f>YEAR(SalesData[[#This Row],[Date]])</f>
        <v>2023</v>
      </c>
      <c r="L418" t="str">
        <f>"Q"&amp;ROUNDUP(MONTH(SalesData[[#This Row],[Date]])/3,0)</f>
        <v>Q4</v>
      </c>
      <c r="M418" s="1" t="d">
        <f>DATE(YEAR(SalesData[[#This Row],[Date]]),MONTH(SalesData[[#This Row],[Date]]),1)</f>
        <v>2023-11-01</v>
      </c>
      <c r="N41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19" spans="1:14">
      <c r="A419">
        <v>418</v>
      </c>
      <c r="B419" s="1" t="d">
        <v>2023-08-05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t="str">
        <f>TEXT(SalesData[[#This Row],[Date]],"yyyy-mm")</f>
        <v>2023-08</v>
      </c>
      <c r="K419">
        <f>YEAR(SalesData[[#This Row],[Date]])</f>
        <v>2023</v>
      </c>
      <c r="L419" t="str">
        <f>"Q"&amp;ROUNDUP(MONTH(SalesData[[#This Row],[Date]])/3,0)</f>
        <v>Q3</v>
      </c>
      <c r="M419" s="1" t="d">
        <f>DATE(YEAR(SalesData[[#This Row],[Date]]),MONTH(SalesData[[#This Row],[Date]]),1)</f>
        <v>2023-08-01</v>
      </c>
      <c r="N41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20" spans="1:14">
      <c r="A420">
        <v>419</v>
      </c>
      <c r="B420" s="1" t="d">
        <v>2023-05-22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t="str">
        <f>TEXT(SalesData[[#This Row],[Date]],"yyyy-mm")</f>
        <v>2023-05</v>
      </c>
      <c r="K420">
        <f>YEAR(SalesData[[#This Row],[Date]])</f>
        <v>2023</v>
      </c>
      <c r="L420" t="str">
        <f>"Q"&amp;ROUNDUP(MONTH(SalesData[[#This Row],[Date]])/3,0)</f>
        <v>Q2</v>
      </c>
      <c r="M420" s="1" t="d">
        <f>DATE(YEAR(SalesData[[#This Row],[Date]]),MONTH(SalesData[[#This Row],[Date]]),1)</f>
        <v>2023-05-01</v>
      </c>
      <c r="N42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21" spans="1:14">
      <c r="A421">
        <v>420</v>
      </c>
      <c r="B421" s="1" t="d">
        <v>2023-01-23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t="str">
        <f>TEXT(SalesData[[#This Row],[Date]],"yyyy-mm")</f>
        <v>2023-01</v>
      </c>
      <c r="K421">
        <f>YEAR(SalesData[[#This Row],[Date]])</f>
        <v>2023</v>
      </c>
      <c r="L421" t="str">
        <f>"Q"&amp;ROUNDUP(MONTH(SalesData[[#This Row],[Date]])/3,0)</f>
        <v>Q1</v>
      </c>
      <c r="M421" s="1" t="d">
        <f>DATE(YEAR(SalesData[[#This Row],[Date]]),MONTH(SalesData[[#This Row],[Date]]),1)</f>
        <v>2023-01-01</v>
      </c>
      <c r="N42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22" spans="1:14">
      <c r="A422">
        <v>421</v>
      </c>
      <c r="B422" s="1" t="d">
        <v>2023-01-02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t="str">
        <f>TEXT(SalesData[[#This Row],[Date]],"yyyy-mm")</f>
        <v>2023-01</v>
      </c>
      <c r="K422">
        <f>YEAR(SalesData[[#This Row],[Date]])</f>
        <v>2023</v>
      </c>
      <c r="L422" t="str">
        <f>"Q"&amp;ROUNDUP(MONTH(SalesData[[#This Row],[Date]])/3,0)</f>
        <v>Q1</v>
      </c>
      <c r="M422" s="1" t="d">
        <f>DATE(YEAR(SalesData[[#This Row],[Date]]),MONTH(SalesData[[#This Row],[Date]]),1)</f>
        <v>2023-01-01</v>
      </c>
      <c r="N42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23" spans="1:14">
      <c r="A423">
        <v>422</v>
      </c>
      <c r="B423" s="1" t="d">
        <v>2023-06-20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t="str">
        <f>TEXT(SalesData[[#This Row],[Date]],"yyyy-mm")</f>
        <v>2023-06</v>
      </c>
      <c r="K423">
        <f>YEAR(SalesData[[#This Row],[Date]])</f>
        <v>2023</v>
      </c>
      <c r="L423" t="str">
        <f>"Q"&amp;ROUNDUP(MONTH(SalesData[[#This Row],[Date]])/3,0)</f>
        <v>Q2</v>
      </c>
      <c r="M423" s="1" t="d">
        <f>DATE(YEAR(SalesData[[#This Row],[Date]]),MONTH(SalesData[[#This Row],[Date]]),1)</f>
        <v>2023-06-01</v>
      </c>
      <c r="N42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24" spans="1:14">
      <c r="A424">
        <v>423</v>
      </c>
      <c r="B424" s="1" t="d">
        <v>2023-03-08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t="str">
        <f>TEXT(SalesData[[#This Row],[Date]],"yyyy-mm")</f>
        <v>2023-03</v>
      </c>
      <c r="K424">
        <f>YEAR(SalesData[[#This Row],[Date]])</f>
        <v>2023</v>
      </c>
      <c r="L424" t="str">
        <f>"Q"&amp;ROUNDUP(MONTH(SalesData[[#This Row],[Date]])/3,0)</f>
        <v>Q1</v>
      </c>
      <c r="M424" s="1" t="d">
        <f>DATE(YEAR(SalesData[[#This Row],[Date]]),MONTH(SalesData[[#This Row],[Date]]),1)</f>
        <v>2023-03-01</v>
      </c>
      <c r="N42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25" spans="1:14">
      <c r="A425">
        <v>424</v>
      </c>
      <c r="B425" s="1" t="d">
        <v>2023-11-23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t="str">
        <f>TEXT(SalesData[[#This Row],[Date]],"yyyy-mm")</f>
        <v>2023-11</v>
      </c>
      <c r="K425">
        <f>YEAR(SalesData[[#This Row],[Date]])</f>
        <v>2023</v>
      </c>
      <c r="L425" t="str">
        <f>"Q"&amp;ROUNDUP(MONTH(SalesData[[#This Row],[Date]])/3,0)</f>
        <v>Q4</v>
      </c>
      <c r="M425" s="1" t="d">
        <f>DATE(YEAR(SalesData[[#This Row],[Date]]),MONTH(SalesData[[#This Row],[Date]]),1)</f>
        <v>2023-11-01</v>
      </c>
      <c r="N42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26" spans="1:14">
      <c r="A426">
        <v>425</v>
      </c>
      <c r="B426" s="1" t="d">
        <v>2023-05-15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t="str">
        <f>TEXT(SalesData[[#This Row],[Date]],"yyyy-mm")</f>
        <v>2023-05</v>
      </c>
      <c r="K426">
        <f>YEAR(SalesData[[#This Row],[Date]])</f>
        <v>2023</v>
      </c>
      <c r="L426" t="str">
        <f>"Q"&amp;ROUNDUP(MONTH(SalesData[[#This Row],[Date]])/3,0)</f>
        <v>Q2</v>
      </c>
      <c r="M426" s="1" t="d">
        <f>DATE(YEAR(SalesData[[#This Row],[Date]]),MONTH(SalesData[[#This Row],[Date]]),1)</f>
        <v>2023-05-01</v>
      </c>
      <c r="N42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27" spans="1:14">
      <c r="A427">
        <v>426</v>
      </c>
      <c r="B427" s="1" t="d">
        <v>2023-03-24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t="str">
        <f>TEXT(SalesData[[#This Row],[Date]],"yyyy-mm")</f>
        <v>2023-03</v>
      </c>
      <c r="K427">
        <f>YEAR(SalesData[[#This Row],[Date]])</f>
        <v>2023</v>
      </c>
      <c r="L427" t="str">
        <f>"Q"&amp;ROUNDUP(MONTH(SalesData[[#This Row],[Date]])/3,0)</f>
        <v>Q1</v>
      </c>
      <c r="M427" s="1" t="d">
        <f>DATE(YEAR(SalesData[[#This Row],[Date]]),MONTH(SalesData[[#This Row],[Date]]),1)</f>
        <v>2023-03-01</v>
      </c>
      <c r="N42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28" spans="1:14">
      <c r="A428">
        <v>427</v>
      </c>
      <c r="B428" s="1" t="d">
        <v>2023-08-15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t="str">
        <f>TEXT(SalesData[[#This Row],[Date]],"yyyy-mm")</f>
        <v>2023-08</v>
      </c>
      <c r="K428">
        <f>YEAR(SalesData[[#This Row],[Date]])</f>
        <v>2023</v>
      </c>
      <c r="L428" t="str">
        <f>"Q"&amp;ROUNDUP(MONTH(SalesData[[#This Row],[Date]])/3,0)</f>
        <v>Q3</v>
      </c>
      <c r="M428" s="1" t="d">
        <f>DATE(YEAR(SalesData[[#This Row],[Date]]),MONTH(SalesData[[#This Row],[Date]]),1)</f>
        <v>2023-08-01</v>
      </c>
      <c r="N42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29" spans="1:14">
      <c r="A429">
        <v>428</v>
      </c>
      <c r="B429" s="1" t="d">
        <v>2023-10-10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t="str">
        <f>TEXT(SalesData[[#This Row],[Date]],"yyyy-mm")</f>
        <v>2023-10</v>
      </c>
      <c r="K429">
        <f>YEAR(SalesData[[#This Row],[Date]])</f>
        <v>2023</v>
      </c>
      <c r="L429" t="str">
        <f>"Q"&amp;ROUNDUP(MONTH(SalesData[[#This Row],[Date]])/3,0)</f>
        <v>Q4</v>
      </c>
      <c r="M429" s="1" t="d">
        <f>DATE(YEAR(SalesData[[#This Row],[Date]]),MONTH(SalesData[[#This Row],[Date]]),1)</f>
        <v>2023-10-01</v>
      </c>
      <c r="N42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30" spans="1:14">
      <c r="A430">
        <v>429</v>
      </c>
      <c r="B430" s="1" t="d">
        <v>2023-12-28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t="str">
        <f>TEXT(SalesData[[#This Row],[Date]],"yyyy-mm")</f>
        <v>2023-12</v>
      </c>
      <c r="K430">
        <f>YEAR(SalesData[[#This Row],[Date]])</f>
        <v>2023</v>
      </c>
      <c r="L430" t="str">
        <f>"Q"&amp;ROUNDUP(MONTH(SalesData[[#This Row],[Date]])/3,0)</f>
        <v>Q4</v>
      </c>
      <c r="M430" s="1" t="d">
        <f>DATE(YEAR(SalesData[[#This Row],[Date]]),MONTH(SalesData[[#This Row],[Date]]),1)</f>
        <v>2023-12-01</v>
      </c>
      <c r="N43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31" spans="1:14">
      <c r="A431">
        <v>430</v>
      </c>
      <c r="B431" s="1" t="d">
        <v>2023-08-07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t="str">
        <f>TEXT(SalesData[[#This Row],[Date]],"yyyy-mm")</f>
        <v>2023-08</v>
      </c>
      <c r="K431">
        <f>YEAR(SalesData[[#This Row],[Date]])</f>
        <v>2023</v>
      </c>
      <c r="L431" t="str">
        <f>"Q"&amp;ROUNDUP(MONTH(SalesData[[#This Row],[Date]])/3,0)</f>
        <v>Q3</v>
      </c>
      <c r="M431" s="1" t="d">
        <f>DATE(YEAR(SalesData[[#This Row],[Date]]),MONTH(SalesData[[#This Row],[Date]]),1)</f>
        <v>2023-08-01</v>
      </c>
      <c r="N43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32" spans="1:14">
      <c r="A432">
        <v>431</v>
      </c>
      <c r="B432" s="1" t="d">
        <v>2023-10-15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t="str">
        <f>TEXT(SalesData[[#This Row],[Date]],"yyyy-mm")</f>
        <v>2023-10</v>
      </c>
      <c r="K432">
        <f>YEAR(SalesData[[#This Row],[Date]])</f>
        <v>2023</v>
      </c>
      <c r="L432" t="str">
        <f>"Q"&amp;ROUNDUP(MONTH(SalesData[[#This Row],[Date]])/3,0)</f>
        <v>Q4</v>
      </c>
      <c r="M432" s="1" t="d">
        <f>DATE(YEAR(SalesData[[#This Row],[Date]]),MONTH(SalesData[[#This Row],[Date]]),1)</f>
        <v>2023-10-01</v>
      </c>
      <c r="N43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33" spans="1:14">
      <c r="A433">
        <v>432</v>
      </c>
      <c r="B433" s="1" t="d">
        <v>2023-01-05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t="str">
        <f>TEXT(SalesData[[#This Row],[Date]],"yyyy-mm")</f>
        <v>2023-01</v>
      </c>
      <c r="K433">
        <f>YEAR(SalesData[[#This Row],[Date]])</f>
        <v>2023</v>
      </c>
      <c r="L433" t="str">
        <f>"Q"&amp;ROUNDUP(MONTH(SalesData[[#This Row],[Date]])/3,0)</f>
        <v>Q1</v>
      </c>
      <c r="M433" s="1" t="d">
        <f>DATE(YEAR(SalesData[[#This Row],[Date]]),MONTH(SalesData[[#This Row],[Date]]),1)</f>
        <v>2023-01-01</v>
      </c>
      <c r="N43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34" spans="1:14">
      <c r="A434">
        <v>433</v>
      </c>
      <c r="B434" s="1" t="d">
        <v>2023-02-27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t="str">
        <f>TEXT(SalesData[[#This Row],[Date]],"yyyy-mm")</f>
        <v>2023-02</v>
      </c>
      <c r="K434">
        <f>YEAR(SalesData[[#This Row],[Date]])</f>
        <v>2023</v>
      </c>
      <c r="L434" t="str">
        <f>"Q"&amp;ROUNDUP(MONTH(SalesData[[#This Row],[Date]])/3,0)</f>
        <v>Q1</v>
      </c>
      <c r="M434" s="1" t="d">
        <f>DATE(YEAR(SalesData[[#This Row],[Date]]),MONTH(SalesData[[#This Row],[Date]]),1)</f>
        <v>2023-02-01</v>
      </c>
      <c r="N43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35" spans="1:14">
      <c r="A435">
        <v>434</v>
      </c>
      <c r="B435" s="1" t="d">
        <v>2023-02-08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t="str">
        <f>TEXT(SalesData[[#This Row],[Date]],"yyyy-mm")</f>
        <v>2023-02</v>
      </c>
      <c r="K435">
        <f>YEAR(SalesData[[#This Row],[Date]])</f>
        <v>2023</v>
      </c>
      <c r="L435" t="str">
        <f>"Q"&amp;ROUNDUP(MONTH(SalesData[[#This Row],[Date]])/3,0)</f>
        <v>Q1</v>
      </c>
      <c r="M435" s="1" t="d">
        <f>DATE(YEAR(SalesData[[#This Row],[Date]]),MONTH(SalesData[[#This Row],[Date]]),1)</f>
        <v>2023-02-01</v>
      </c>
      <c r="N43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36" spans="1:14">
      <c r="A436">
        <v>435</v>
      </c>
      <c r="B436" s="1" t="d">
        <v>2023-12-20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t="str">
        <f>TEXT(SalesData[[#This Row],[Date]],"yyyy-mm")</f>
        <v>2023-12</v>
      </c>
      <c r="K436">
        <f>YEAR(SalesData[[#This Row],[Date]])</f>
        <v>2023</v>
      </c>
      <c r="L436" t="str">
        <f>"Q"&amp;ROUNDUP(MONTH(SalesData[[#This Row],[Date]])/3,0)</f>
        <v>Q4</v>
      </c>
      <c r="M436" s="1" t="d">
        <f>DATE(YEAR(SalesData[[#This Row],[Date]]),MONTH(SalesData[[#This Row],[Date]]),1)</f>
        <v>2023-12-01</v>
      </c>
      <c r="N43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37" spans="1:14">
      <c r="A437">
        <v>436</v>
      </c>
      <c r="B437" s="1" t="d">
        <v>2023-03-18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t="str">
        <f>TEXT(SalesData[[#This Row],[Date]],"yyyy-mm")</f>
        <v>2023-03</v>
      </c>
      <c r="K437">
        <f>YEAR(SalesData[[#This Row],[Date]])</f>
        <v>2023</v>
      </c>
      <c r="L437" t="str">
        <f>"Q"&amp;ROUNDUP(MONTH(SalesData[[#This Row],[Date]])/3,0)</f>
        <v>Q1</v>
      </c>
      <c r="M437" s="1" t="d">
        <f>DATE(YEAR(SalesData[[#This Row],[Date]]),MONTH(SalesData[[#This Row],[Date]]),1)</f>
        <v>2023-03-01</v>
      </c>
      <c r="N4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38" spans="1:14">
      <c r="A438">
        <v>437</v>
      </c>
      <c r="B438" s="1" t="d">
        <v>2023-10-07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t="str">
        <f>TEXT(SalesData[[#This Row],[Date]],"yyyy-mm")</f>
        <v>2023-10</v>
      </c>
      <c r="K438">
        <f>YEAR(SalesData[[#This Row],[Date]])</f>
        <v>2023</v>
      </c>
      <c r="L438" t="str">
        <f>"Q"&amp;ROUNDUP(MONTH(SalesData[[#This Row],[Date]])/3,0)</f>
        <v>Q4</v>
      </c>
      <c r="M438" s="1" t="d">
        <f>DATE(YEAR(SalesData[[#This Row],[Date]]),MONTH(SalesData[[#This Row],[Date]]),1)</f>
        <v>2023-10-01</v>
      </c>
      <c r="N43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39" spans="1:14">
      <c r="A439">
        <v>438</v>
      </c>
      <c r="B439" s="1" t="d">
        <v>2023-01-19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t="str">
        <f>TEXT(SalesData[[#This Row],[Date]],"yyyy-mm")</f>
        <v>2023-01</v>
      </c>
      <c r="K439">
        <f>YEAR(SalesData[[#This Row],[Date]])</f>
        <v>2023</v>
      </c>
      <c r="L439" t="str">
        <f>"Q"&amp;ROUNDUP(MONTH(SalesData[[#This Row],[Date]])/3,0)</f>
        <v>Q1</v>
      </c>
      <c r="M439" s="1" t="d">
        <f>DATE(YEAR(SalesData[[#This Row],[Date]]),MONTH(SalesData[[#This Row],[Date]]),1)</f>
        <v>2023-01-01</v>
      </c>
      <c r="N4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40" spans="1:14">
      <c r="A440">
        <v>439</v>
      </c>
      <c r="B440" s="1" t="d">
        <v>2023-07-09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t="str">
        <f>TEXT(SalesData[[#This Row],[Date]],"yyyy-mm")</f>
        <v>2023-07</v>
      </c>
      <c r="K440">
        <f>YEAR(SalesData[[#This Row],[Date]])</f>
        <v>2023</v>
      </c>
      <c r="L440" t="str">
        <f>"Q"&amp;ROUNDUP(MONTH(SalesData[[#This Row],[Date]])/3,0)</f>
        <v>Q3</v>
      </c>
      <c r="M440" s="1" t="d">
        <f>DATE(YEAR(SalesData[[#This Row],[Date]]),MONTH(SalesData[[#This Row],[Date]]),1)</f>
        <v>2023-07-01</v>
      </c>
      <c r="N44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1" spans="1:14">
      <c r="A441">
        <v>440</v>
      </c>
      <c r="B441" s="1" t="d">
        <v>2023-10-26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t="str">
        <f>TEXT(SalesData[[#This Row],[Date]],"yyyy-mm")</f>
        <v>2023-10</v>
      </c>
      <c r="K441">
        <f>YEAR(SalesData[[#This Row],[Date]])</f>
        <v>2023</v>
      </c>
      <c r="L441" t="str">
        <f>"Q"&amp;ROUNDUP(MONTH(SalesData[[#This Row],[Date]])/3,0)</f>
        <v>Q4</v>
      </c>
      <c r="M441" s="1" t="d">
        <f>DATE(YEAR(SalesData[[#This Row],[Date]]),MONTH(SalesData[[#This Row],[Date]]),1)</f>
        <v>2023-10-01</v>
      </c>
      <c r="N44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2" spans="1:14">
      <c r="A442">
        <v>441</v>
      </c>
      <c r="B442" s="1" t="d">
        <v>2023-10-10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t="str">
        <f>TEXT(SalesData[[#This Row],[Date]],"yyyy-mm")</f>
        <v>2023-10</v>
      </c>
      <c r="K442">
        <f>YEAR(SalesData[[#This Row],[Date]])</f>
        <v>2023</v>
      </c>
      <c r="L442" t="str">
        <f>"Q"&amp;ROUNDUP(MONTH(SalesData[[#This Row],[Date]])/3,0)</f>
        <v>Q4</v>
      </c>
      <c r="M442" s="1" t="d">
        <f>DATE(YEAR(SalesData[[#This Row],[Date]]),MONTH(SalesData[[#This Row],[Date]]),1)</f>
        <v>2023-10-01</v>
      </c>
      <c r="N44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3" spans="1:14">
      <c r="A443">
        <v>442</v>
      </c>
      <c r="B443" s="1" t="d">
        <v>2023-03-17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t="str">
        <f>TEXT(SalesData[[#This Row],[Date]],"yyyy-mm")</f>
        <v>2023-03</v>
      </c>
      <c r="K443">
        <f>YEAR(SalesData[[#This Row],[Date]])</f>
        <v>2023</v>
      </c>
      <c r="L443" t="str">
        <f>"Q"&amp;ROUNDUP(MONTH(SalesData[[#This Row],[Date]])/3,0)</f>
        <v>Q1</v>
      </c>
      <c r="M443" s="1" t="d">
        <f>DATE(YEAR(SalesData[[#This Row],[Date]]),MONTH(SalesData[[#This Row],[Date]]),1)</f>
        <v>2023-03-01</v>
      </c>
      <c r="N44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4" spans="1:14">
      <c r="A444">
        <v>443</v>
      </c>
      <c r="B444" s="1" t="d">
        <v>2023-08-09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t="str">
        <f>TEXT(SalesData[[#This Row],[Date]],"yyyy-mm")</f>
        <v>2023-08</v>
      </c>
      <c r="K444">
        <f>YEAR(SalesData[[#This Row],[Date]])</f>
        <v>2023</v>
      </c>
      <c r="L444" t="str">
        <f>"Q"&amp;ROUNDUP(MONTH(SalesData[[#This Row],[Date]])/3,0)</f>
        <v>Q3</v>
      </c>
      <c r="M444" s="1" t="d">
        <f>DATE(YEAR(SalesData[[#This Row],[Date]]),MONTH(SalesData[[#This Row],[Date]]),1)</f>
        <v>2023-08-01</v>
      </c>
      <c r="N44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45" spans="1:14">
      <c r="A445">
        <v>444</v>
      </c>
      <c r="B445" s="1" t="d">
        <v>2023-03-07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t="str">
        <f>TEXT(SalesData[[#This Row],[Date]],"yyyy-mm")</f>
        <v>2023-03</v>
      </c>
      <c r="K445">
        <f>YEAR(SalesData[[#This Row],[Date]])</f>
        <v>2023</v>
      </c>
      <c r="L445" t="str">
        <f>"Q"&amp;ROUNDUP(MONTH(SalesData[[#This Row],[Date]])/3,0)</f>
        <v>Q1</v>
      </c>
      <c r="M445" s="1" t="d">
        <f>DATE(YEAR(SalesData[[#This Row],[Date]]),MONTH(SalesData[[#This Row],[Date]]),1)</f>
        <v>2023-03-01</v>
      </c>
      <c r="N44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6" spans="1:14">
      <c r="A446">
        <v>445</v>
      </c>
      <c r="B446" s="1" t="d">
        <v>2023-01-22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t="str">
        <f>TEXT(SalesData[[#This Row],[Date]],"yyyy-mm")</f>
        <v>2023-01</v>
      </c>
      <c r="K446">
        <f>YEAR(SalesData[[#This Row],[Date]])</f>
        <v>2023</v>
      </c>
      <c r="L446" t="str">
        <f>"Q"&amp;ROUNDUP(MONTH(SalesData[[#This Row],[Date]])/3,0)</f>
        <v>Q1</v>
      </c>
      <c r="M446" s="1" t="d">
        <f>DATE(YEAR(SalesData[[#This Row],[Date]]),MONTH(SalesData[[#This Row],[Date]]),1)</f>
        <v>2023-01-01</v>
      </c>
      <c r="N44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47" spans="1:14">
      <c r="A447">
        <v>446</v>
      </c>
      <c r="B447" s="1" t="d">
        <v>2023-06-07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t="str">
        <f>TEXT(SalesData[[#This Row],[Date]],"yyyy-mm")</f>
        <v>2023-06</v>
      </c>
      <c r="K447">
        <f>YEAR(SalesData[[#This Row],[Date]])</f>
        <v>2023</v>
      </c>
      <c r="L447" t="str">
        <f>"Q"&amp;ROUNDUP(MONTH(SalesData[[#This Row],[Date]])/3,0)</f>
        <v>Q2</v>
      </c>
      <c r="M447" s="1" t="d">
        <f>DATE(YEAR(SalesData[[#This Row],[Date]]),MONTH(SalesData[[#This Row],[Date]]),1)</f>
        <v>2023-06-01</v>
      </c>
      <c r="N44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48" spans="1:14">
      <c r="A448">
        <v>447</v>
      </c>
      <c r="B448" s="1" t="d">
        <v>2023-07-06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t="str">
        <f>TEXT(SalesData[[#This Row],[Date]],"yyyy-mm")</f>
        <v>2023-07</v>
      </c>
      <c r="K448">
        <f>YEAR(SalesData[[#This Row],[Date]])</f>
        <v>2023</v>
      </c>
      <c r="L448" t="str">
        <f>"Q"&amp;ROUNDUP(MONTH(SalesData[[#This Row],[Date]])/3,0)</f>
        <v>Q3</v>
      </c>
      <c r="M448" s="1" t="d">
        <f>DATE(YEAR(SalesData[[#This Row],[Date]]),MONTH(SalesData[[#This Row],[Date]]),1)</f>
        <v>2023-07-01</v>
      </c>
      <c r="N44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49" spans="1:14">
      <c r="A449">
        <v>448</v>
      </c>
      <c r="B449" s="1" t="d">
        <v>2023-01-21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t="str">
        <f>TEXT(SalesData[[#This Row],[Date]],"yyyy-mm")</f>
        <v>2023-01</v>
      </c>
      <c r="K449">
        <f>YEAR(SalesData[[#This Row],[Date]])</f>
        <v>2023</v>
      </c>
      <c r="L449" t="str">
        <f>"Q"&amp;ROUNDUP(MONTH(SalesData[[#This Row],[Date]])/3,0)</f>
        <v>Q1</v>
      </c>
      <c r="M449" s="1" t="d">
        <f>DATE(YEAR(SalesData[[#This Row],[Date]]),MONTH(SalesData[[#This Row],[Date]]),1)</f>
        <v>2023-01-01</v>
      </c>
      <c r="N44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50" spans="1:14">
      <c r="A450">
        <v>449</v>
      </c>
      <c r="B450" s="1" t="d">
        <v>2023-07-03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t="str">
        <f>TEXT(SalesData[[#This Row],[Date]],"yyyy-mm")</f>
        <v>2023-07</v>
      </c>
      <c r="K450">
        <f>YEAR(SalesData[[#This Row],[Date]])</f>
        <v>2023</v>
      </c>
      <c r="L450" t="str">
        <f>"Q"&amp;ROUNDUP(MONTH(SalesData[[#This Row],[Date]])/3,0)</f>
        <v>Q3</v>
      </c>
      <c r="M450" s="1" t="d">
        <f>DATE(YEAR(SalesData[[#This Row],[Date]]),MONTH(SalesData[[#This Row],[Date]]),1)</f>
        <v>2023-07-01</v>
      </c>
      <c r="N45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51" spans="1:14">
      <c r="A451">
        <v>450</v>
      </c>
      <c r="B451" s="1" t="d">
        <v>2023-04-18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t="str">
        <f>TEXT(SalesData[[#This Row],[Date]],"yyyy-mm")</f>
        <v>2023-04</v>
      </c>
      <c r="K451">
        <f>YEAR(SalesData[[#This Row],[Date]])</f>
        <v>2023</v>
      </c>
      <c r="L451" t="str">
        <f>"Q"&amp;ROUNDUP(MONTH(SalesData[[#This Row],[Date]])/3,0)</f>
        <v>Q2</v>
      </c>
      <c r="M451" s="1" t="d">
        <f>DATE(YEAR(SalesData[[#This Row],[Date]]),MONTH(SalesData[[#This Row],[Date]]),1)</f>
        <v>2023-04-01</v>
      </c>
      <c r="N45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52" spans="1:14">
      <c r="A452">
        <v>451</v>
      </c>
      <c r="B452" s="1" t="d">
        <v>2023-12-16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t="str">
        <f>TEXT(SalesData[[#This Row],[Date]],"yyyy-mm")</f>
        <v>2023-12</v>
      </c>
      <c r="K452">
        <f>YEAR(SalesData[[#This Row],[Date]])</f>
        <v>2023</v>
      </c>
      <c r="L452" t="str">
        <f>"Q"&amp;ROUNDUP(MONTH(SalesData[[#This Row],[Date]])/3,0)</f>
        <v>Q4</v>
      </c>
      <c r="M452" s="1" t="d">
        <f>DATE(YEAR(SalesData[[#This Row],[Date]]),MONTH(SalesData[[#This Row],[Date]]),1)</f>
        <v>2023-12-01</v>
      </c>
      <c r="N45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53" spans="1:14">
      <c r="A453">
        <v>452</v>
      </c>
      <c r="B453" s="1" t="d">
        <v>2023-05-08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t="str">
        <f>TEXT(SalesData[[#This Row],[Date]],"yyyy-mm")</f>
        <v>2023-05</v>
      </c>
      <c r="K453">
        <f>YEAR(SalesData[[#This Row],[Date]])</f>
        <v>2023</v>
      </c>
      <c r="L453" t="str">
        <f>"Q"&amp;ROUNDUP(MONTH(SalesData[[#This Row],[Date]])/3,0)</f>
        <v>Q2</v>
      </c>
      <c r="M453" s="1" t="d">
        <f>DATE(YEAR(SalesData[[#This Row],[Date]]),MONTH(SalesData[[#This Row],[Date]]),1)</f>
        <v>2023-05-01</v>
      </c>
      <c r="N45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54" spans="1:14">
      <c r="A454">
        <v>453</v>
      </c>
      <c r="B454" s="1" t="d">
        <v>2023-12-08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t="str">
        <f>TEXT(SalesData[[#This Row],[Date]],"yyyy-mm")</f>
        <v>2023-12</v>
      </c>
      <c r="K454">
        <f>YEAR(SalesData[[#This Row],[Date]])</f>
        <v>2023</v>
      </c>
      <c r="L454" t="str">
        <f>"Q"&amp;ROUNDUP(MONTH(SalesData[[#This Row],[Date]])/3,0)</f>
        <v>Q4</v>
      </c>
      <c r="M454" s="1" t="d">
        <f>DATE(YEAR(SalesData[[#This Row],[Date]]),MONTH(SalesData[[#This Row],[Date]]),1)</f>
        <v>2023-12-01</v>
      </c>
      <c r="N45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55" spans="1:14">
      <c r="A455">
        <v>454</v>
      </c>
      <c r="B455" s="1" t="d">
        <v>2023-02-22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t="str">
        <f>TEXT(SalesData[[#This Row],[Date]],"yyyy-mm")</f>
        <v>2023-02</v>
      </c>
      <c r="K455">
        <f>YEAR(SalesData[[#This Row],[Date]])</f>
        <v>2023</v>
      </c>
      <c r="L455" t="str">
        <f>"Q"&amp;ROUNDUP(MONTH(SalesData[[#This Row],[Date]])/3,0)</f>
        <v>Q1</v>
      </c>
      <c r="M455" s="1" t="d">
        <f>DATE(YEAR(SalesData[[#This Row],[Date]]),MONTH(SalesData[[#This Row],[Date]]),1)</f>
        <v>2023-02-01</v>
      </c>
      <c r="N4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56" spans="1:14">
      <c r="A456">
        <v>455</v>
      </c>
      <c r="B456" s="1" t="d">
        <v>2023-07-01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t="str">
        <f>TEXT(SalesData[[#This Row],[Date]],"yyyy-mm")</f>
        <v>2023-07</v>
      </c>
      <c r="K456">
        <f>YEAR(SalesData[[#This Row],[Date]])</f>
        <v>2023</v>
      </c>
      <c r="L456" t="str">
        <f>"Q"&amp;ROUNDUP(MONTH(SalesData[[#This Row],[Date]])/3,0)</f>
        <v>Q3</v>
      </c>
      <c r="M456" s="1" t="d">
        <f>DATE(YEAR(SalesData[[#This Row],[Date]]),MONTH(SalesData[[#This Row],[Date]]),1)</f>
        <v>2023-07-01</v>
      </c>
      <c r="N45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57" spans="1:14">
      <c r="A457">
        <v>456</v>
      </c>
      <c r="B457" s="1" t="d">
        <v>2023-10-14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t="str">
        <f>TEXT(SalesData[[#This Row],[Date]],"yyyy-mm")</f>
        <v>2023-10</v>
      </c>
      <c r="K457">
        <f>YEAR(SalesData[[#This Row],[Date]])</f>
        <v>2023</v>
      </c>
      <c r="L457" t="str">
        <f>"Q"&amp;ROUNDUP(MONTH(SalesData[[#This Row],[Date]])/3,0)</f>
        <v>Q4</v>
      </c>
      <c r="M457" s="1" t="d">
        <f>DATE(YEAR(SalesData[[#This Row],[Date]]),MONTH(SalesData[[#This Row],[Date]]),1)</f>
        <v>2023-10-01</v>
      </c>
      <c r="N45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58" spans="1:14">
      <c r="A458">
        <v>457</v>
      </c>
      <c r="B458" s="1" t="d">
        <v>2023-07-28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t="str">
        <f>TEXT(SalesData[[#This Row],[Date]],"yyyy-mm")</f>
        <v>2023-07</v>
      </c>
      <c r="K458">
        <f>YEAR(SalesData[[#This Row],[Date]])</f>
        <v>2023</v>
      </c>
      <c r="L458" t="str">
        <f>"Q"&amp;ROUNDUP(MONTH(SalesData[[#This Row],[Date]])/3,0)</f>
        <v>Q3</v>
      </c>
      <c r="M458" s="1" t="d">
        <f>DATE(YEAR(SalesData[[#This Row],[Date]]),MONTH(SalesData[[#This Row],[Date]]),1)</f>
        <v>2023-07-01</v>
      </c>
      <c r="N45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59" spans="1:14">
      <c r="A459">
        <v>458</v>
      </c>
      <c r="B459" s="1" t="d">
        <v>2023-11-14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t="str">
        <f>TEXT(SalesData[[#This Row],[Date]],"yyyy-mm")</f>
        <v>2023-11</v>
      </c>
      <c r="K459">
        <f>YEAR(SalesData[[#This Row],[Date]])</f>
        <v>2023</v>
      </c>
      <c r="L459" t="str">
        <f>"Q"&amp;ROUNDUP(MONTH(SalesData[[#This Row],[Date]])/3,0)</f>
        <v>Q4</v>
      </c>
      <c r="M459" s="1" t="d">
        <f>DATE(YEAR(SalesData[[#This Row],[Date]]),MONTH(SalesData[[#This Row],[Date]]),1)</f>
        <v>2023-11-01</v>
      </c>
      <c r="N45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60" spans="1:14">
      <c r="A460">
        <v>459</v>
      </c>
      <c r="B460" s="1" t="d">
        <v>2023-03-21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t="str">
        <f>TEXT(SalesData[[#This Row],[Date]],"yyyy-mm")</f>
        <v>2023-03</v>
      </c>
      <c r="K460">
        <f>YEAR(SalesData[[#This Row],[Date]])</f>
        <v>2023</v>
      </c>
      <c r="L460" t="str">
        <f>"Q"&amp;ROUNDUP(MONTH(SalesData[[#This Row],[Date]])/3,0)</f>
        <v>Q1</v>
      </c>
      <c r="M460" s="1" t="d">
        <f>DATE(YEAR(SalesData[[#This Row],[Date]]),MONTH(SalesData[[#This Row],[Date]]),1)</f>
        <v>2023-03-01</v>
      </c>
      <c r="N46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61" spans="1:14">
      <c r="A461">
        <v>460</v>
      </c>
      <c r="B461" s="1" t="d">
        <v>2023-05-02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t="str">
        <f>TEXT(SalesData[[#This Row],[Date]],"yyyy-mm")</f>
        <v>2023-05</v>
      </c>
      <c r="K461">
        <f>YEAR(SalesData[[#This Row],[Date]])</f>
        <v>2023</v>
      </c>
      <c r="L461" t="str">
        <f>"Q"&amp;ROUNDUP(MONTH(SalesData[[#This Row],[Date]])/3,0)</f>
        <v>Q2</v>
      </c>
      <c r="M461" s="1" t="d">
        <f>DATE(YEAR(SalesData[[#This Row],[Date]]),MONTH(SalesData[[#This Row],[Date]]),1)</f>
        <v>2023-05-01</v>
      </c>
      <c r="N46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62" spans="1:14">
      <c r="A462">
        <v>461</v>
      </c>
      <c r="B462" s="1" t="d">
        <v>2023-03-25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t="str">
        <f>TEXT(SalesData[[#This Row],[Date]],"yyyy-mm")</f>
        <v>2023-03</v>
      </c>
      <c r="K462">
        <f>YEAR(SalesData[[#This Row],[Date]])</f>
        <v>2023</v>
      </c>
      <c r="L462" t="str">
        <f>"Q"&amp;ROUNDUP(MONTH(SalesData[[#This Row],[Date]])/3,0)</f>
        <v>Q1</v>
      </c>
      <c r="M462" s="1" t="d">
        <f>DATE(YEAR(SalesData[[#This Row],[Date]]),MONTH(SalesData[[#This Row],[Date]]),1)</f>
        <v>2023-03-01</v>
      </c>
      <c r="N462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463" spans="1:14">
      <c r="A463">
        <v>462</v>
      </c>
      <c r="B463" s="1" t="d">
        <v>2023-04-01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t="str">
        <f>TEXT(SalesData[[#This Row],[Date]],"yyyy-mm")</f>
        <v>2023-04</v>
      </c>
      <c r="K463">
        <f>YEAR(SalesData[[#This Row],[Date]])</f>
        <v>2023</v>
      </c>
      <c r="L463" t="str">
        <f>"Q"&amp;ROUNDUP(MONTH(SalesData[[#This Row],[Date]])/3,0)</f>
        <v>Q2</v>
      </c>
      <c r="M463" s="1" t="d">
        <f>DATE(YEAR(SalesData[[#This Row],[Date]]),MONTH(SalesData[[#This Row],[Date]]),1)</f>
        <v>2023-04-01</v>
      </c>
      <c r="N46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64" spans="1:14">
      <c r="A464">
        <v>463</v>
      </c>
      <c r="B464" s="1" t="d">
        <v>2023-07-31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t="str">
        <f>TEXT(SalesData[[#This Row],[Date]],"yyyy-mm")</f>
        <v>2023-07</v>
      </c>
      <c r="K464">
        <f>YEAR(SalesData[[#This Row],[Date]])</f>
        <v>2023</v>
      </c>
      <c r="L464" t="str">
        <f>"Q"&amp;ROUNDUP(MONTH(SalesData[[#This Row],[Date]])/3,0)</f>
        <v>Q3</v>
      </c>
      <c r="M464" s="1" t="d">
        <f>DATE(YEAR(SalesData[[#This Row],[Date]]),MONTH(SalesData[[#This Row],[Date]]),1)</f>
        <v>2023-07-01</v>
      </c>
      <c r="N46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65" spans="1:14">
      <c r="A465">
        <v>464</v>
      </c>
      <c r="B465" s="1" t="d">
        <v>2023-01-13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t="str">
        <f>TEXT(SalesData[[#This Row],[Date]],"yyyy-mm")</f>
        <v>2023-01</v>
      </c>
      <c r="K465">
        <f>YEAR(SalesData[[#This Row],[Date]])</f>
        <v>2023</v>
      </c>
      <c r="L465" t="str">
        <f>"Q"&amp;ROUNDUP(MONTH(SalesData[[#This Row],[Date]])/3,0)</f>
        <v>Q1</v>
      </c>
      <c r="M465" s="1" t="d">
        <f>DATE(YEAR(SalesData[[#This Row],[Date]]),MONTH(SalesData[[#This Row],[Date]]),1)</f>
        <v>2023-01-01</v>
      </c>
      <c r="N46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66" spans="1:14">
      <c r="A466">
        <v>465</v>
      </c>
      <c r="B466" s="1" t="d">
        <v>2023-04-02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t="str">
        <f>TEXT(SalesData[[#This Row],[Date]],"yyyy-mm")</f>
        <v>2023-04</v>
      </c>
      <c r="K466">
        <f>YEAR(SalesData[[#This Row],[Date]])</f>
        <v>2023</v>
      </c>
      <c r="L466" t="str">
        <f>"Q"&amp;ROUNDUP(MONTH(SalesData[[#This Row],[Date]])/3,0)</f>
        <v>Q2</v>
      </c>
      <c r="M466" s="1" t="d">
        <f>DATE(YEAR(SalesData[[#This Row],[Date]]),MONTH(SalesData[[#This Row],[Date]]),1)</f>
        <v>2023-04-01</v>
      </c>
      <c r="N46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67" spans="1:14">
      <c r="A467">
        <v>466</v>
      </c>
      <c r="B467" s="1" t="d">
        <v>2023-06-20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t="str">
        <f>TEXT(SalesData[[#This Row],[Date]],"yyyy-mm")</f>
        <v>2023-06</v>
      </c>
      <c r="K467">
        <f>YEAR(SalesData[[#This Row],[Date]])</f>
        <v>2023</v>
      </c>
      <c r="L467" t="str">
        <f>"Q"&amp;ROUNDUP(MONTH(SalesData[[#This Row],[Date]])/3,0)</f>
        <v>Q2</v>
      </c>
      <c r="M467" s="1" t="d">
        <f>DATE(YEAR(SalesData[[#This Row],[Date]]),MONTH(SalesData[[#This Row],[Date]]),1)</f>
        <v>2023-06-01</v>
      </c>
      <c r="N46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68" spans="1:14">
      <c r="A468">
        <v>467</v>
      </c>
      <c r="B468" s="1" t="d">
        <v>2023-07-30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t="str">
        <f>TEXT(SalesData[[#This Row],[Date]],"yyyy-mm")</f>
        <v>2023-07</v>
      </c>
      <c r="K468">
        <f>YEAR(SalesData[[#This Row],[Date]])</f>
        <v>2023</v>
      </c>
      <c r="L468" t="str">
        <f>"Q"&amp;ROUNDUP(MONTH(SalesData[[#This Row],[Date]])/3,0)</f>
        <v>Q3</v>
      </c>
      <c r="M468" s="1" t="d">
        <f>DATE(YEAR(SalesData[[#This Row],[Date]]),MONTH(SalesData[[#This Row],[Date]]),1)</f>
        <v>2023-07-01</v>
      </c>
      <c r="N46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69" spans="1:14">
      <c r="A469">
        <v>468</v>
      </c>
      <c r="B469" s="1" t="d">
        <v>2023-12-09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t="str">
        <f>TEXT(SalesData[[#This Row],[Date]],"yyyy-mm")</f>
        <v>2023-12</v>
      </c>
      <c r="K469">
        <f>YEAR(SalesData[[#This Row],[Date]])</f>
        <v>2023</v>
      </c>
      <c r="L469" t="str">
        <f>"Q"&amp;ROUNDUP(MONTH(SalesData[[#This Row],[Date]])/3,0)</f>
        <v>Q4</v>
      </c>
      <c r="M469" s="1" t="d">
        <f>DATE(YEAR(SalesData[[#This Row],[Date]]),MONTH(SalesData[[#This Row],[Date]]),1)</f>
        <v>2023-12-01</v>
      </c>
      <c r="N46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70" spans="1:14">
      <c r="A470">
        <v>469</v>
      </c>
      <c r="B470" s="1" t="d">
        <v>2023-05-08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t="str">
        <f>TEXT(SalesData[[#This Row],[Date]],"yyyy-mm")</f>
        <v>2023-05</v>
      </c>
      <c r="K470">
        <f>YEAR(SalesData[[#This Row],[Date]])</f>
        <v>2023</v>
      </c>
      <c r="L470" t="str">
        <f>"Q"&amp;ROUNDUP(MONTH(SalesData[[#This Row],[Date]])/3,0)</f>
        <v>Q2</v>
      </c>
      <c r="M470" s="1" t="d">
        <f>DATE(YEAR(SalesData[[#This Row],[Date]]),MONTH(SalesData[[#This Row],[Date]]),1)</f>
        <v>2023-05-01</v>
      </c>
      <c r="N470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471" spans="1:14">
      <c r="A471">
        <v>470</v>
      </c>
      <c r="B471" s="1" t="d">
        <v>2023-05-17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t="str">
        <f>TEXT(SalesData[[#This Row],[Date]],"yyyy-mm")</f>
        <v>2023-05</v>
      </c>
      <c r="K471">
        <f>YEAR(SalesData[[#This Row],[Date]])</f>
        <v>2023</v>
      </c>
      <c r="L471" t="str">
        <f>"Q"&amp;ROUNDUP(MONTH(SalesData[[#This Row],[Date]])/3,0)</f>
        <v>Q2</v>
      </c>
      <c r="M471" s="1" t="d">
        <f>DATE(YEAR(SalesData[[#This Row],[Date]]),MONTH(SalesData[[#This Row],[Date]]),1)</f>
        <v>2023-05-01</v>
      </c>
      <c r="N47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72" spans="1:14">
      <c r="A472">
        <v>471</v>
      </c>
      <c r="B472" s="1" t="d">
        <v>2023-03-23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t="str">
        <f>TEXT(SalesData[[#This Row],[Date]],"yyyy-mm")</f>
        <v>2023-03</v>
      </c>
      <c r="K472">
        <f>YEAR(SalesData[[#This Row],[Date]])</f>
        <v>2023</v>
      </c>
      <c r="L472" t="str">
        <f>"Q"&amp;ROUNDUP(MONTH(SalesData[[#This Row],[Date]])/3,0)</f>
        <v>Q1</v>
      </c>
      <c r="M472" s="1" t="d">
        <f>DATE(YEAR(SalesData[[#This Row],[Date]]),MONTH(SalesData[[#This Row],[Date]]),1)</f>
        <v>2023-03-01</v>
      </c>
      <c r="N47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73" spans="1:14">
      <c r="A473">
        <v>472</v>
      </c>
      <c r="B473" s="1" t="d">
        <v>2023-12-26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t="str">
        <f>TEXT(SalesData[[#This Row],[Date]],"yyyy-mm")</f>
        <v>2023-12</v>
      </c>
      <c r="K473">
        <f>YEAR(SalesData[[#This Row],[Date]])</f>
        <v>2023</v>
      </c>
      <c r="L473" t="str">
        <f>"Q"&amp;ROUNDUP(MONTH(SalesData[[#This Row],[Date]])/3,0)</f>
        <v>Q4</v>
      </c>
      <c r="M473" s="1" t="d">
        <f>DATE(YEAR(SalesData[[#This Row],[Date]]),MONTH(SalesData[[#This Row],[Date]]),1)</f>
        <v>2023-12-01</v>
      </c>
      <c r="N47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74" spans="1:14">
      <c r="A474">
        <v>473</v>
      </c>
      <c r="B474" s="1" t="d">
        <v>2023-02-25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t="str">
        <f>TEXT(SalesData[[#This Row],[Date]],"yyyy-mm")</f>
        <v>2023-02</v>
      </c>
      <c r="K474">
        <f>YEAR(SalesData[[#This Row],[Date]])</f>
        <v>2023</v>
      </c>
      <c r="L474" t="str">
        <f>"Q"&amp;ROUNDUP(MONTH(SalesData[[#This Row],[Date]])/3,0)</f>
        <v>Q1</v>
      </c>
      <c r="M474" s="1" t="d">
        <f>DATE(YEAR(SalesData[[#This Row],[Date]]),MONTH(SalesData[[#This Row],[Date]]),1)</f>
        <v>2023-02-01</v>
      </c>
      <c r="N47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75" spans="1:14">
      <c r="A475">
        <v>474</v>
      </c>
      <c r="B475" s="1" t="d">
        <v>2023-07-15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t="str">
        <f>TEXT(SalesData[[#This Row],[Date]],"yyyy-mm")</f>
        <v>2023-07</v>
      </c>
      <c r="K475">
        <f>YEAR(SalesData[[#This Row],[Date]])</f>
        <v>2023</v>
      </c>
      <c r="L475" t="str">
        <f>"Q"&amp;ROUNDUP(MONTH(SalesData[[#This Row],[Date]])/3,0)</f>
        <v>Q3</v>
      </c>
      <c r="M475" s="1" t="d">
        <f>DATE(YEAR(SalesData[[#This Row],[Date]]),MONTH(SalesData[[#This Row],[Date]]),1)</f>
        <v>2023-07-01</v>
      </c>
      <c r="N47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76" spans="1:14">
      <c r="A476">
        <v>475</v>
      </c>
      <c r="B476" s="1" t="d">
        <v>2023-01-20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t="str">
        <f>TEXT(SalesData[[#This Row],[Date]],"yyyy-mm")</f>
        <v>2023-01</v>
      </c>
      <c r="K476">
        <f>YEAR(SalesData[[#This Row],[Date]])</f>
        <v>2023</v>
      </c>
      <c r="L476" t="str">
        <f>"Q"&amp;ROUNDUP(MONTH(SalesData[[#This Row],[Date]])/3,0)</f>
        <v>Q1</v>
      </c>
      <c r="M476" s="1" t="d">
        <f>DATE(YEAR(SalesData[[#This Row],[Date]]),MONTH(SalesData[[#This Row],[Date]]),1)</f>
        <v>2023-01-01</v>
      </c>
      <c r="N47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77" spans="1:14">
      <c r="A477">
        <v>476</v>
      </c>
      <c r="B477" s="1" t="d">
        <v>2023-08-29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t="str">
        <f>TEXT(SalesData[[#This Row],[Date]],"yyyy-mm")</f>
        <v>2023-08</v>
      </c>
      <c r="K477">
        <f>YEAR(SalesData[[#This Row],[Date]])</f>
        <v>2023</v>
      </c>
      <c r="L477" t="str">
        <f>"Q"&amp;ROUNDUP(MONTH(SalesData[[#This Row],[Date]])/3,0)</f>
        <v>Q3</v>
      </c>
      <c r="M477" s="1" t="d">
        <f>DATE(YEAR(SalesData[[#This Row],[Date]]),MONTH(SalesData[[#This Row],[Date]]),1)</f>
        <v>2023-08-01</v>
      </c>
      <c r="N47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78" spans="1:14">
      <c r="A478">
        <v>477</v>
      </c>
      <c r="B478" s="1" t="d">
        <v>2023-04-24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t="str">
        <f>TEXT(SalesData[[#This Row],[Date]],"yyyy-mm")</f>
        <v>2023-04</v>
      </c>
      <c r="K478">
        <f>YEAR(SalesData[[#This Row],[Date]])</f>
        <v>2023</v>
      </c>
      <c r="L478" t="str">
        <f>"Q"&amp;ROUNDUP(MONTH(SalesData[[#This Row],[Date]])/3,0)</f>
        <v>Q2</v>
      </c>
      <c r="M478" s="1" t="d">
        <f>DATE(YEAR(SalesData[[#This Row],[Date]]),MONTH(SalesData[[#This Row],[Date]]),1)</f>
        <v>2023-04-01</v>
      </c>
      <c r="N47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79" spans="1:14">
      <c r="A479">
        <v>478</v>
      </c>
      <c r="B479" s="1" t="d">
        <v>2023-04-13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t="str">
        <f>TEXT(SalesData[[#This Row],[Date]],"yyyy-mm")</f>
        <v>2023-04</v>
      </c>
      <c r="K479">
        <f>YEAR(SalesData[[#This Row],[Date]])</f>
        <v>2023</v>
      </c>
      <c r="L479" t="str">
        <f>"Q"&amp;ROUNDUP(MONTH(SalesData[[#This Row],[Date]])/3,0)</f>
        <v>Q2</v>
      </c>
      <c r="M479" s="1" t="d">
        <f>DATE(YEAR(SalesData[[#This Row],[Date]]),MONTH(SalesData[[#This Row],[Date]]),1)</f>
        <v>2023-04-01</v>
      </c>
      <c r="N47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80" spans="1:14">
      <c r="A480">
        <v>479</v>
      </c>
      <c r="B480" s="1" t="d">
        <v>2023-08-24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t="str">
        <f>TEXT(SalesData[[#This Row],[Date]],"yyyy-mm")</f>
        <v>2023-08</v>
      </c>
      <c r="K480">
        <f>YEAR(SalesData[[#This Row],[Date]])</f>
        <v>2023</v>
      </c>
      <c r="L480" t="str">
        <f>"Q"&amp;ROUNDUP(MONTH(SalesData[[#This Row],[Date]])/3,0)</f>
        <v>Q3</v>
      </c>
      <c r="M480" s="1" t="d">
        <f>DATE(YEAR(SalesData[[#This Row],[Date]]),MONTH(SalesData[[#This Row],[Date]]),1)</f>
        <v>2023-08-01</v>
      </c>
      <c r="N48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81" spans="1:14">
      <c r="A481">
        <v>480</v>
      </c>
      <c r="B481" s="1" t="d">
        <v>2023-06-29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t="str">
        <f>TEXT(SalesData[[#This Row],[Date]],"yyyy-mm")</f>
        <v>2023-06</v>
      </c>
      <c r="K481">
        <f>YEAR(SalesData[[#This Row],[Date]])</f>
        <v>2023</v>
      </c>
      <c r="L481" t="str">
        <f>"Q"&amp;ROUNDUP(MONTH(SalesData[[#This Row],[Date]])/3,0)</f>
        <v>Q2</v>
      </c>
      <c r="M481" s="1" t="d">
        <f>DATE(YEAR(SalesData[[#This Row],[Date]]),MONTH(SalesData[[#This Row],[Date]]),1)</f>
        <v>2023-06-01</v>
      </c>
      <c r="N48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82" spans="1:14">
      <c r="A482">
        <v>481</v>
      </c>
      <c r="B482" s="1" t="d">
        <v>2023-06-06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t="str">
        <f>TEXT(SalesData[[#This Row],[Date]],"yyyy-mm")</f>
        <v>2023-06</v>
      </c>
      <c r="K482">
        <f>YEAR(SalesData[[#This Row],[Date]])</f>
        <v>2023</v>
      </c>
      <c r="L482" t="str">
        <f>"Q"&amp;ROUNDUP(MONTH(SalesData[[#This Row],[Date]])/3,0)</f>
        <v>Q2</v>
      </c>
      <c r="M482" s="1" t="d">
        <f>DATE(YEAR(SalesData[[#This Row],[Date]]),MONTH(SalesData[[#This Row],[Date]]),1)</f>
        <v>2023-06-01</v>
      </c>
      <c r="N48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83" spans="1:14">
      <c r="A483">
        <v>482</v>
      </c>
      <c r="B483" s="1" t="d">
        <v>2023-04-27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t="str">
        <f>TEXT(SalesData[[#This Row],[Date]],"yyyy-mm")</f>
        <v>2023-04</v>
      </c>
      <c r="K483">
        <f>YEAR(SalesData[[#This Row],[Date]])</f>
        <v>2023</v>
      </c>
      <c r="L483" t="str">
        <f>"Q"&amp;ROUNDUP(MONTH(SalesData[[#This Row],[Date]])/3,0)</f>
        <v>Q2</v>
      </c>
      <c r="M483" s="1" t="d">
        <f>DATE(YEAR(SalesData[[#This Row],[Date]]),MONTH(SalesData[[#This Row],[Date]]),1)</f>
        <v>2023-04-01</v>
      </c>
      <c r="N48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84" spans="1:14">
      <c r="A484">
        <v>483</v>
      </c>
      <c r="B484" s="1" t="d">
        <v>2023-04-25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t="str">
        <f>TEXT(SalesData[[#This Row],[Date]],"yyyy-mm")</f>
        <v>2023-04</v>
      </c>
      <c r="K484">
        <f>YEAR(SalesData[[#This Row],[Date]])</f>
        <v>2023</v>
      </c>
      <c r="L484" t="str">
        <f>"Q"&amp;ROUNDUP(MONTH(SalesData[[#This Row],[Date]])/3,0)</f>
        <v>Q2</v>
      </c>
      <c r="M484" s="1" t="d">
        <f>DATE(YEAR(SalesData[[#This Row],[Date]]),MONTH(SalesData[[#This Row],[Date]]),1)</f>
        <v>2023-04-01</v>
      </c>
      <c r="N48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85" spans="1:14">
      <c r="A485">
        <v>484</v>
      </c>
      <c r="B485" s="1" t="d">
        <v>2023-01-13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t="str">
        <f>TEXT(SalesData[[#This Row],[Date]],"yyyy-mm")</f>
        <v>2023-01</v>
      </c>
      <c r="K485">
        <f>YEAR(SalesData[[#This Row],[Date]])</f>
        <v>2023</v>
      </c>
      <c r="L485" t="str">
        <f>"Q"&amp;ROUNDUP(MONTH(SalesData[[#This Row],[Date]])/3,0)</f>
        <v>Q1</v>
      </c>
      <c r="M485" s="1" t="d">
        <f>DATE(YEAR(SalesData[[#This Row],[Date]]),MONTH(SalesData[[#This Row],[Date]]),1)</f>
        <v>2023-01-01</v>
      </c>
      <c r="N48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486" spans="1:14">
      <c r="A486">
        <v>485</v>
      </c>
      <c r="B486" s="1" t="d">
        <v>2023-12-04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t="str">
        <f>TEXT(SalesData[[#This Row],[Date]],"yyyy-mm")</f>
        <v>2023-12</v>
      </c>
      <c r="K486">
        <f>YEAR(SalesData[[#This Row],[Date]])</f>
        <v>2023</v>
      </c>
      <c r="L486" t="str">
        <f>"Q"&amp;ROUNDUP(MONTH(SalesData[[#This Row],[Date]])/3,0)</f>
        <v>Q4</v>
      </c>
      <c r="M486" s="1" t="d">
        <f>DATE(YEAR(SalesData[[#This Row],[Date]]),MONTH(SalesData[[#This Row],[Date]]),1)</f>
        <v>2023-12-01</v>
      </c>
      <c r="N48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87" spans="1:14">
      <c r="A487">
        <v>486</v>
      </c>
      <c r="B487" s="1" t="d">
        <v>2023-04-09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t="str">
        <f>TEXT(SalesData[[#This Row],[Date]],"yyyy-mm")</f>
        <v>2023-04</v>
      </c>
      <c r="K487">
        <f>YEAR(SalesData[[#This Row],[Date]])</f>
        <v>2023</v>
      </c>
      <c r="L487" t="str">
        <f>"Q"&amp;ROUNDUP(MONTH(SalesData[[#This Row],[Date]])/3,0)</f>
        <v>Q2</v>
      </c>
      <c r="M487" s="1" t="d">
        <f>DATE(YEAR(SalesData[[#This Row],[Date]]),MONTH(SalesData[[#This Row],[Date]]),1)</f>
        <v>2023-04-01</v>
      </c>
      <c r="N48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88" spans="1:14">
      <c r="A488">
        <v>487</v>
      </c>
      <c r="B488" s="1" t="d">
        <v>2023-07-24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t="str">
        <f>TEXT(SalesData[[#This Row],[Date]],"yyyy-mm")</f>
        <v>2023-07</v>
      </c>
      <c r="K488">
        <f>YEAR(SalesData[[#This Row],[Date]])</f>
        <v>2023</v>
      </c>
      <c r="L488" t="str">
        <f>"Q"&amp;ROUNDUP(MONTH(SalesData[[#This Row],[Date]])/3,0)</f>
        <v>Q3</v>
      </c>
      <c r="M488" s="1" t="d">
        <f>DATE(YEAR(SalesData[[#This Row],[Date]]),MONTH(SalesData[[#This Row],[Date]]),1)</f>
        <v>2023-07-01</v>
      </c>
      <c r="N48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89" spans="1:14">
      <c r="A489">
        <v>488</v>
      </c>
      <c r="B489" s="1" t="d">
        <v>2023-06-18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t="str">
        <f>TEXT(SalesData[[#This Row],[Date]],"yyyy-mm")</f>
        <v>2023-06</v>
      </c>
      <c r="K489">
        <f>YEAR(SalesData[[#This Row],[Date]])</f>
        <v>2023</v>
      </c>
      <c r="L489" t="str">
        <f>"Q"&amp;ROUNDUP(MONTH(SalesData[[#This Row],[Date]])/3,0)</f>
        <v>Q2</v>
      </c>
      <c r="M489" s="1" t="d">
        <f>DATE(YEAR(SalesData[[#This Row],[Date]]),MONTH(SalesData[[#This Row],[Date]]),1)</f>
        <v>2023-06-01</v>
      </c>
      <c r="N4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90" spans="1:14">
      <c r="A490">
        <v>489</v>
      </c>
      <c r="B490" s="1" t="d">
        <v>2023-05-23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t="str">
        <f>TEXT(SalesData[[#This Row],[Date]],"yyyy-mm")</f>
        <v>2023-05</v>
      </c>
      <c r="K490">
        <f>YEAR(SalesData[[#This Row],[Date]])</f>
        <v>2023</v>
      </c>
      <c r="L490" t="str">
        <f>"Q"&amp;ROUNDUP(MONTH(SalesData[[#This Row],[Date]])/3,0)</f>
        <v>Q2</v>
      </c>
      <c r="M490" s="1" t="d">
        <f>DATE(YEAR(SalesData[[#This Row],[Date]]),MONTH(SalesData[[#This Row],[Date]]),1)</f>
        <v>2023-05-01</v>
      </c>
      <c r="N49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91" spans="1:14">
      <c r="A491">
        <v>490</v>
      </c>
      <c r="B491" s="1" t="d">
        <v>2023-02-05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t="str">
        <f>TEXT(SalesData[[#This Row],[Date]],"yyyy-mm")</f>
        <v>2023-02</v>
      </c>
      <c r="K491">
        <f>YEAR(SalesData[[#This Row],[Date]])</f>
        <v>2023</v>
      </c>
      <c r="L491" t="str">
        <f>"Q"&amp;ROUNDUP(MONTH(SalesData[[#This Row],[Date]])/3,0)</f>
        <v>Q1</v>
      </c>
      <c r="M491" s="1" t="d">
        <f>DATE(YEAR(SalesData[[#This Row],[Date]]),MONTH(SalesData[[#This Row],[Date]]),1)</f>
        <v>2023-02-01</v>
      </c>
      <c r="N49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492" spans="1:14">
      <c r="A492">
        <v>491</v>
      </c>
      <c r="B492" s="1" t="d">
        <v>2023-05-23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t="str">
        <f>TEXT(SalesData[[#This Row],[Date]],"yyyy-mm")</f>
        <v>2023-05</v>
      </c>
      <c r="K492">
        <f>YEAR(SalesData[[#This Row],[Date]])</f>
        <v>2023</v>
      </c>
      <c r="L492" t="str">
        <f>"Q"&amp;ROUNDUP(MONTH(SalesData[[#This Row],[Date]])/3,0)</f>
        <v>Q2</v>
      </c>
      <c r="M492" s="1" t="d">
        <f>DATE(YEAR(SalesData[[#This Row],[Date]]),MONTH(SalesData[[#This Row],[Date]]),1)</f>
        <v>2023-05-01</v>
      </c>
      <c r="N4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93" spans="1:14">
      <c r="A493">
        <v>492</v>
      </c>
      <c r="B493" s="1" t="d">
        <v>2023-06-29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t="str">
        <f>TEXT(SalesData[[#This Row],[Date]],"yyyy-mm")</f>
        <v>2023-06</v>
      </c>
      <c r="K493">
        <f>YEAR(SalesData[[#This Row],[Date]])</f>
        <v>2023</v>
      </c>
      <c r="L493" t="str">
        <f>"Q"&amp;ROUNDUP(MONTH(SalesData[[#This Row],[Date]])/3,0)</f>
        <v>Q2</v>
      </c>
      <c r="M493" s="1" t="d">
        <f>DATE(YEAR(SalesData[[#This Row],[Date]]),MONTH(SalesData[[#This Row],[Date]]),1)</f>
        <v>2023-06-01</v>
      </c>
      <c r="N49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494" spans="1:14">
      <c r="A494">
        <v>493</v>
      </c>
      <c r="B494" s="1" t="d">
        <v>2023-11-25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t="str">
        <f>TEXT(SalesData[[#This Row],[Date]],"yyyy-mm")</f>
        <v>2023-11</v>
      </c>
      <c r="K494">
        <f>YEAR(SalesData[[#This Row],[Date]])</f>
        <v>2023</v>
      </c>
      <c r="L494" t="str">
        <f>"Q"&amp;ROUNDUP(MONTH(SalesData[[#This Row],[Date]])/3,0)</f>
        <v>Q4</v>
      </c>
      <c r="M494" s="1" t="d">
        <f>DATE(YEAR(SalesData[[#This Row],[Date]]),MONTH(SalesData[[#This Row],[Date]]),1)</f>
        <v>2023-11-01</v>
      </c>
      <c r="N49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95" spans="1:14">
      <c r="A495">
        <v>494</v>
      </c>
      <c r="B495" s="1" t="d">
        <v>2023-09-18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t="str">
        <f>TEXT(SalesData[[#This Row],[Date]],"yyyy-mm")</f>
        <v>2023-09</v>
      </c>
      <c r="K495">
        <f>YEAR(SalesData[[#This Row],[Date]])</f>
        <v>2023</v>
      </c>
      <c r="L495" t="str">
        <f>"Q"&amp;ROUNDUP(MONTH(SalesData[[#This Row],[Date]])/3,0)</f>
        <v>Q3</v>
      </c>
      <c r="M495" s="1" t="d">
        <f>DATE(YEAR(SalesData[[#This Row],[Date]]),MONTH(SalesData[[#This Row],[Date]]),1)</f>
        <v>2023-09-01</v>
      </c>
      <c r="N49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96" spans="1:14">
      <c r="A496">
        <v>495</v>
      </c>
      <c r="B496" s="1" t="d">
        <v>2023-07-24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t="str">
        <f>TEXT(SalesData[[#This Row],[Date]],"yyyy-mm")</f>
        <v>2023-07</v>
      </c>
      <c r="K496">
        <f>YEAR(SalesData[[#This Row],[Date]])</f>
        <v>2023</v>
      </c>
      <c r="L496" t="str">
        <f>"Q"&amp;ROUNDUP(MONTH(SalesData[[#This Row],[Date]])/3,0)</f>
        <v>Q3</v>
      </c>
      <c r="M496" s="1" t="d">
        <f>DATE(YEAR(SalesData[[#This Row],[Date]]),MONTH(SalesData[[#This Row],[Date]]),1)</f>
        <v>2023-07-01</v>
      </c>
      <c r="N49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97" spans="1:14">
      <c r="A497">
        <v>496</v>
      </c>
      <c r="B497" s="1" t="d">
        <v>2023-12-14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t="str">
        <f>TEXT(SalesData[[#This Row],[Date]],"yyyy-mm")</f>
        <v>2023-12</v>
      </c>
      <c r="K497">
        <f>YEAR(SalesData[[#This Row],[Date]])</f>
        <v>2023</v>
      </c>
      <c r="L497" t="str">
        <f>"Q"&amp;ROUNDUP(MONTH(SalesData[[#This Row],[Date]])/3,0)</f>
        <v>Q4</v>
      </c>
      <c r="M497" s="1" t="d">
        <f>DATE(YEAR(SalesData[[#This Row],[Date]]),MONTH(SalesData[[#This Row],[Date]]),1)</f>
        <v>2023-12-01</v>
      </c>
      <c r="N49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498" spans="1:14">
      <c r="A498">
        <v>497</v>
      </c>
      <c r="B498" s="1" t="d">
        <v>2023-10-02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t="str">
        <f>TEXT(SalesData[[#This Row],[Date]],"yyyy-mm")</f>
        <v>2023-10</v>
      </c>
      <c r="K498">
        <f>YEAR(SalesData[[#This Row],[Date]])</f>
        <v>2023</v>
      </c>
      <c r="L498" t="str">
        <f>"Q"&amp;ROUNDUP(MONTH(SalesData[[#This Row],[Date]])/3,0)</f>
        <v>Q4</v>
      </c>
      <c r="M498" s="1" t="d">
        <f>DATE(YEAR(SalesData[[#This Row],[Date]]),MONTH(SalesData[[#This Row],[Date]]),1)</f>
        <v>2023-10-01</v>
      </c>
      <c r="N49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499" spans="1:14">
      <c r="A499">
        <v>498</v>
      </c>
      <c r="B499" s="1" t="d">
        <v>2023-06-19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t="str">
        <f>TEXT(SalesData[[#This Row],[Date]],"yyyy-mm")</f>
        <v>2023-06</v>
      </c>
      <c r="K499">
        <f>YEAR(SalesData[[#This Row],[Date]])</f>
        <v>2023</v>
      </c>
      <c r="L499" t="str">
        <f>"Q"&amp;ROUNDUP(MONTH(SalesData[[#This Row],[Date]])/3,0)</f>
        <v>Q2</v>
      </c>
      <c r="M499" s="1" t="d">
        <f>DATE(YEAR(SalesData[[#This Row],[Date]]),MONTH(SalesData[[#This Row],[Date]]),1)</f>
        <v>2023-06-01</v>
      </c>
      <c r="N49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00" spans="1:14">
      <c r="A500">
        <v>499</v>
      </c>
      <c r="B500" s="1" t="d">
        <v>2023-01-15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t="str">
        <f>TEXT(SalesData[[#This Row],[Date]],"yyyy-mm")</f>
        <v>2023-01</v>
      </c>
      <c r="K500">
        <f>YEAR(SalesData[[#This Row],[Date]])</f>
        <v>2023</v>
      </c>
      <c r="L500" t="str">
        <f>"Q"&amp;ROUNDUP(MONTH(SalesData[[#This Row],[Date]])/3,0)</f>
        <v>Q1</v>
      </c>
      <c r="M500" s="1" t="d">
        <f>DATE(YEAR(SalesData[[#This Row],[Date]]),MONTH(SalesData[[#This Row],[Date]]),1)</f>
        <v>2023-01-01</v>
      </c>
      <c r="N50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01" spans="1:14">
      <c r="A501">
        <v>500</v>
      </c>
      <c r="B501" s="1" t="d">
        <v>2023-03-01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t="str">
        <f>TEXT(SalesData[[#This Row],[Date]],"yyyy-mm")</f>
        <v>2023-03</v>
      </c>
      <c r="K501">
        <f>YEAR(SalesData[[#This Row],[Date]])</f>
        <v>2023</v>
      </c>
      <c r="L501" t="str">
        <f>"Q"&amp;ROUNDUP(MONTH(SalesData[[#This Row],[Date]])/3,0)</f>
        <v>Q1</v>
      </c>
      <c r="M501" s="1" t="d">
        <f>DATE(YEAR(SalesData[[#This Row],[Date]]),MONTH(SalesData[[#This Row],[Date]]),1)</f>
        <v>2023-03-01</v>
      </c>
      <c r="N50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02" spans="1:14">
      <c r="A502">
        <v>501</v>
      </c>
      <c r="B502" s="1" t="d">
        <v>2023-05-14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t="str">
        <f>TEXT(SalesData[[#This Row],[Date]],"yyyy-mm")</f>
        <v>2023-05</v>
      </c>
      <c r="K502">
        <f>YEAR(SalesData[[#This Row],[Date]])</f>
        <v>2023</v>
      </c>
      <c r="L502" t="str">
        <f>"Q"&amp;ROUNDUP(MONTH(SalesData[[#This Row],[Date]])/3,0)</f>
        <v>Q2</v>
      </c>
      <c r="M502" s="1" t="d">
        <f>DATE(YEAR(SalesData[[#This Row],[Date]]),MONTH(SalesData[[#This Row],[Date]]),1)</f>
        <v>2023-05-01</v>
      </c>
      <c r="N50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03" spans="1:14">
      <c r="A503">
        <v>502</v>
      </c>
      <c r="B503" s="1" t="d">
        <v>2023-04-02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t="str">
        <f>TEXT(SalesData[[#This Row],[Date]],"yyyy-mm")</f>
        <v>2023-04</v>
      </c>
      <c r="K503">
        <f>YEAR(SalesData[[#This Row],[Date]])</f>
        <v>2023</v>
      </c>
      <c r="L503" t="str">
        <f>"Q"&amp;ROUNDUP(MONTH(SalesData[[#This Row],[Date]])/3,0)</f>
        <v>Q2</v>
      </c>
      <c r="M503" s="1" t="d">
        <f>DATE(YEAR(SalesData[[#This Row],[Date]]),MONTH(SalesData[[#This Row],[Date]]),1)</f>
        <v>2023-04-01</v>
      </c>
      <c r="N50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04" spans="1:14">
      <c r="A504">
        <v>503</v>
      </c>
      <c r="B504" s="1" t="d">
        <v>2023-10-25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t="str">
        <f>TEXT(SalesData[[#This Row],[Date]],"yyyy-mm")</f>
        <v>2023-10</v>
      </c>
      <c r="K504">
        <f>YEAR(SalesData[[#This Row],[Date]])</f>
        <v>2023</v>
      </c>
      <c r="L504" t="str">
        <f>"Q"&amp;ROUNDUP(MONTH(SalesData[[#This Row],[Date]])/3,0)</f>
        <v>Q4</v>
      </c>
      <c r="M504" s="1" t="d">
        <f>DATE(YEAR(SalesData[[#This Row],[Date]]),MONTH(SalesData[[#This Row],[Date]]),1)</f>
        <v>2023-10-01</v>
      </c>
      <c r="N50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05" spans="1:14">
      <c r="A505">
        <v>504</v>
      </c>
      <c r="B505" s="1" t="d">
        <v>2023-05-16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t="str">
        <f>TEXT(SalesData[[#This Row],[Date]],"yyyy-mm")</f>
        <v>2023-05</v>
      </c>
      <c r="K505">
        <f>YEAR(SalesData[[#This Row],[Date]])</f>
        <v>2023</v>
      </c>
      <c r="L505" t="str">
        <f>"Q"&amp;ROUNDUP(MONTH(SalesData[[#This Row],[Date]])/3,0)</f>
        <v>Q2</v>
      </c>
      <c r="M505" s="1" t="d">
        <f>DATE(YEAR(SalesData[[#This Row],[Date]]),MONTH(SalesData[[#This Row],[Date]]),1)</f>
        <v>2023-05-01</v>
      </c>
      <c r="N50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06" spans="1:14">
      <c r="A506">
        <v>505</v>
      </c>
      <c r="B506" s="1" t="d">
        <v>2023-01-20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t="str">
        <f>TEXT(SalesData[[#This Row],[Date]],"yyyy-mm")</f>
        <v>2023-01</v>
      </c>
      <c r="K506">
        <f>YEAR(SalesData[[#This Row],[Date]])</f>
        <v>2023</v>
      </c>
      <c r="L506" t="str">
        <f>"Q"&amp;ROUNDUP(MONTH(SalesData[[#This Row],[Date]])/3,0)</f>
        <v>Q1</v>
      </c>
      <c r="M506" s="1" t="d">
        <f>DATE(YEAR(SalesData[[#This Row],[Date]]),MONTH(SalesData[[#This Row],[Date]]),1)</f>
        <v>2023-01-01</v>
      </c>
      <c r="N50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07" spans="1:14">
      <c r="A507">
        <v>506</v>
      </c>
      <c r="B507" s="1" t="d">
        <v>2023-02-25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t="str">
        <f>TEXT(SalesData[[#This Row],[Date]],"yyyy-mm")</f>
        <v>2023-02</v>
      </c>
      <c r="K507">
        <f>YEAR(SalesData[[#This Row],[Date]])</f>
        <v>2023</v>
      </c>
      <c r="L507" t="str">
        <f>"Q"&amp;ROUNDUP(MONTH(SalesData[[#This Row],[Date]])/3,0)</f>
        <v>Q1</v>
      </c>
      <c r="M507" s="1" t="d">
        <f>DATE(YEAR(SalesData[[#This Row],[Date]]),MONTH(SalesData[[#This Row],[Date]]),1)</f>
        <v>2023-02-01</v>
      </c>
      <c r="N50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08" spans="1:14">
      <c r="A508">
        <v>507</v>
      </c>
      <c r="B508" s="1" t="d">
        <v>2023-11-02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t="str">
        <f>TEXT(SalesData[[#This Row],[Date]],"yyyy-mm")</f>
        <v>2023-11</v>
      </c>
      <c r="K508">
        <f>YEAR(SalesData[[#This Row],[Date]])</f>
        <v>2023</v>
      </c>
      <c r="L508" t="str">
        <f>"Q"&amp;ROUNDUP(MONTH(SalesData[[#This Row],[Date]])/3,0)</f>
        <v>Q4</v>
      </c>
      <c r="M508" s="1" t="d">
        <f>DATE(YEAR(SalesData[[#This Row],[Date]]),MONTH(SalesData[[#This Row],[Date]]),1)</f>
        <v>2023-11-01</v>
      </c>
      <c r="N50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09" spans="1:14">
      <c r="A509">
        <v>508</v>
      </c>
      <c r="B509" s="1" t="d">
        <v>2023-08-11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t="str">
        <f>TEXT(SalesData[[#This Row],[Date]],"yyyy-mm")</f>
        <v>2023-08</v>
      </c>
      <c r="K509">
        <f>YEAR(SalesData[[#This Row],[Date]])</f>
        <v>2023</v>
      </c>
      <c r="L509" t="str">
        <f>"Q"&amp;ROUNDUP(MONTH(SalesData[[#This Row],[Date]])/3,0)</f>
        <v>Q3</v>
      </c>
      <c r="M509" s="1" t="d">
        <f>DATE(YEAR(SalesData[[#This Row],[Date]]),MONTH(SalesData[[#This Row],[Date]]),1)</f>
        <v>2023-08-01</v>
      </c>
      <c r="N50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10" spans="1:14">
      <c r="A510">
        <v>509</v>
      </c>
      <c r="B510" s="1" t="d">
        <v>2023-06-26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t="str">
        <f>TEXT(SalesData[[#This Row],[Date]],"yyyy-mm")</f>
        <v>2023-06</v>
      </c>
      <c r="K510">
        <f>YEAR(SalesData[[#This Row],[Date]])</f>
        <v>2023</v>
      </c>
      <c r="L510" t="str">
        <f>"Q"&amp;ROUNDUP(MONTH(SalesData[[#This Row],[Date]])/3,0)</f>
        <v>Q2</v>
      </c>
      <c r="M510" s="1" t="d">
        <f>DATE(YEAR(SalesData[[#This Row],[Date]]),MONTH(SalesData[[#This Row],[Date]]),1)</f>
        <v>2023-06-01</v>
      </c>
      <c r="N51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11" spans="1:14">
      <c r="A511">
        <v>510</v>
      </c>
      <c r="B511" s="1" t="d">
        <v>2023-06-10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t="str">
        <f>TEXT(SalesData[[#This Row],[Date]],"yyyy-mm")</f>
        <v>2023-06</v>
      </c>
      <c r="K511">
        <f>YEAR(SalesData[[#This Row],[Date]])</f>
        <v>2023</v>
      </c>
      <c r="L511" t="str">
        <f>"Q"&amp;ROUNDUP(MONTH(SalesData[[#This Row],[Date]])/3,0)</f>
        <v>Q2</v>
      </c>
      <c r="M511" s="1" t="d">
        <f>DATE(YEAR(SalesData[[#This Row],[Date]]),MONTH(SalesData[[#This Row],[Date]]),1)</f>
        <v>2023-06-01</v>
      </c>
      <c r="N51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12" spans="1:14">
      <c r="A512">
        <v>511</v>
      </c>
      <c r="B512" s="1" t="d">
        <v>2023-08-12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t="str">
        <f>TEXT(SalesData[[#This Row],[Date]],"yyyy-mm")</f>
        <v>2023-08</v>
      </c>
      <c r="K512">
        <f>YEAR(SalesData[[#This Row],[Date]])</f>
        <v>2023</v>
      </c>
      <c r="L512" t="str">
        <f>"Q"&amp;ROUNDUP(MONTH(SalesData[[#This Row],[Date]])/3,0)</f>
        <v>Q3</v>
      </c>
      <c r="M512" s="1" t="d">
        <f>DATE(YEAR(SalesData[[#This Row],[Date]]),MONTH(SalesData[[#This Row],[Date]]),1)</f>
        <v>2023-08-01</v>
      </c>
      <c r="N51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13" spans="1:14">
      <c r="A513">
        <v>512</v>
      </c>
      <c r="B513" s="1" t="d">
        <v>2023-11-07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t="str">
        <f>TEXT(SalesData[[#This Row],[Date]],"yyyy-mm")</f>
        <v>2023-11</v>
      </c>
      <c r="K513">
        <f>YEAR(SalesData[[#This Row],[Date]])</f>
        <v>2023</v>
      </c>
      <c r="L513" t="str">
        <f>"Q"&amp;ROUNDUP(MONTH(SalesData[[#This Row],[Date]])/3,0)</f>
        <v>Q4</v>
      </c>
      <c r="M513" s="1" t="d">
        <f>DATE(YEAR(SalesData[[#This Row],[Date]]),MONTH(SalesData[[#This Row],[Date]]),1)</f>
        <v>2023-11-01</v>
      </c>
      <c r="N51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14" spans="1:14">
      <c r="A514">
        <v>513</v>
      </c>
      <c r="B514" s="1" t="d">
        <v>2023-09-19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t="str">
        <f>TEXT(SalesData[[#This Row],[Date]],"yyyy-mm")</f>
        <v>2023-09</v>
      </c>
      <c r="K514">
        <f>YEAR(SalesData[[#This Row],[Date]])</f>
        <v>2023</v>
      </c>
      <c r="L514" t="str">
        <f>"Q"&amp;ROUNDUP(MONTH(SalesData[[#This Row],[Date]])/3,0)</f>
        <v>Q3</v>
      </c>
      <c r="M514" s="1" t="d">
        <f>DATE(YEAR(SalesData[[#This Row],[Date]]),MONTH(SalesData[[#This Row],[Date]]),1)</f>
        <v>2023-09-01</v>
      </c>
      <c r="N51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15" spans="1:14">
      <c r="A515">
        <v>514</v>
      </c>
      <c r="B515" s="1" t="d">
        <v>2023-03-01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t="str">
        <f>TEXT(SalesData[[#This Row],[Date]],"yyyy-mm")</f>
        <v>2023-03</v>
      </c>
      <c r="K515">
        <f>YEAR(SalesData[[#This Row],[Date]])</f>
        <v>2023</v>
      </c>
      <c r="L515" t="str">
        <f>"Q"&amp;ROUNDUP(MONTH(SalesData[[#This Row],[Date]])/3,0)</f>
        <v>Q1</v>
      </c>
      <c r="M515" s="1" t="d">
        <f>DATE(YEAR(SalesData[[#This Row],[Date]]),MONTH(SalesData[[#This Row],[Date]]),1)</f>
        <v>2023-03-01</v>
      </c>
      <c r="N51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16" spans="1:14">
      <c r="A516">
        <v>515</v>
      </c>
      <c r="B516" s="1" t="d">
        <v>2023-07-17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t="str">
        <f>TEXT(SalesData[[#This Row],[Date]],"yyyy-mm")</f>
        <v>2023-07</v>
      </c>
      <c r="K516">
        <f>YEAR(SalesData[[#This Row],[Date]])</f>
        <v>2023</v>
      </c>
      <c r="L516" t="str">
        <f>"Q"&amp;ROUNDUP(MONTH(SalesData[[#This Row],[Date]])/3,0)</f>
        <v>Q3</v>
      </c>
      <c r="M516" s="1" t="d">
        <f>DATE(YEAR(SalesData[[#This Row],[Date]]),MONTH(SalesData[[#This Row],[Date]]),1)</f>
        <v>2023-07-01</v>
      </c>
      <c r="N51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17" spans="1:14">
      <c r="A517">
        <v>516</v>
      </c>
      <c r="B517" s="1" t="d">
        <v>2023-10-23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t="str">
        <f>TEXT(SalesData[[#This Row],[Date]],"yyyy-mm")</f>
        <v>2023-10</v>
      </c>
      <c r="K517">
        <f>YEAR(SalesData[[#This Row],[Date]])</f>
        <v>2023</v>
      </c>
      <c r="L517" t="str">
        <f>"Q"&amp;ROUNDUP(MONTH(SalesData[[#This Row],[Date]])/3,0)</f>
        <v>Q4</v>
      </c>
      <c r="M517" s="1" t="d">
        <f>DATE(YEAR(SalesData[[#This Row],[Date]]),MONTH(SalesData[[#This Row],[Date]]),1)</f>
        <v>2023-10-01</v>
      </c>
      <c r="N51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18" spans="1:14">
      <c r="A518">
        <v>517</v>
      </c>
      <c r="B518" s="1" t="d">
        <v>2023-04-08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t="str">
        <f>TEXT(SalesData[[#This Row],[Date]],"yyyy-mm")</f>
        <v>2023-04</v>
      </c>
      <c r="K518">
        <f>YEAR(SalesData[[#This Row],[Date]])</f>
        <v>2023</v>
      </c>
      <c r="L518" t="str">
        <f>"Q"&amp;ROUNDUP(MONTH(SalesData[[#This Row],[Date]])/3,0)</f>
        <v>Q2</v>
      </c>
      <c r="M518" s="1" t="d">
        <f>DATE(YEAR(SalesData[[#This Row],[Date]]),MONTH(SalesData[[#This Row],[Date]]),1)</f>
        <v>2023-04-01</v>
      </c>
      <c r="N51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19" spans="1:14">
      <c r="A519">
        <v>518</v>
      </c>
      <c r="B519" s="1" t="d">
        <v>2023-05-11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t="str">
        <f>TEXT(SalesData[[#This Row],[Date]],"yyyy-mm")</f>
        <v>2023-05</v>
      </c>
      <c r="K519">
        <f>YEAR(SalesData[[#This Row],[Date]])</f>
        <v>2023</v>
      </c>
      <c r="L519" t="str">
        <f>"Q"&amp;ROUNDUP(MONTH(SalesData[[#This Row],[Date]])/3,0)</f>
        <v>Q2</v>
      </c>
      <c r="M519" s="1" t="d">
        <f>DATE(YEAR(SalesData[[#This Row],[Date]]),MONTH(SalesData[[#This Row],[Date]]),1)</f>
        <v>2023-05-01</v>
      </c>
      <c r="N51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0" spans="1:14">
      <c r="A520">
        <v>519</v>
      </c>
      <c r="B520" s="1" t="d">
        <v>2023-01-23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t="str">
        <f>TEXT(SalesData[[#This Row],[Date]],"yyyy-mm")</f>
        <v>2023-01</v>
      </c>
      <c r="K520">
        <f>YEAR(SalesData[[#This Row],[Date]])</f>
        <v>2023</v>
      </c>
      <c r="L520" t="str">
        <f>"Q"&amp;ROUNDUP(MONTH(SalesData[[#This Row],[Date]])/3,0)</f>
        <v>Q1</v>
      </c>
      <c r="M520" s="1" t="d">
        <f>DATE(YEAR(SalesData[[#This Row],[Date]]),MONTH(SalesData[[#This Row],[Date]]),1)</f>
        <v>2023-01-01</v>
      </c>
      <c r="N52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21" spans="1:14">
      <c r="A521">
        <v>520</v>
      </c>
      <c r="B521" s="1" t="d">
        <v>2023-12-29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t="str">
        <f>TEXT(SalesData[[#This Row],[Date]],"yyyy-mm")</f>
        <v>2023-12</v>
      </c>
      <c r="K521">
        <f>YEAR(SalesData[[#This Row],[Date]])</f>
        <v>2023</v>
      </c>
      <c r="L521" t="str">
        <f>"Q"&amp;ROUNDUP(MONTH(SalesData[[#This Row],[Date]])/3,0)</f>
        <v>Q4</v>
      </c>
      <c r="M521" s="1" t="d">
        <f>DATE(YEAR(SalesData[[#This Row],[Date]]),MONTH(SalesData[[#This Row],[Date]]),1)</f>
        <v>2023-12-01</v>
      </c>
      <c r="N52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2" spans="1:14">
      <c r="A522">
        <v>521</v>
      </c>
      <c r="B522" s="1" t="d">
        <v>2023-08-12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t="str">
        <f>TEXT(SalesData[[#This Row],[Date]],"yyyy-mm")</f>
        <v>2023-08</v>
      </c>
      <c r="K522">
        <f>YEAR(SalesData[[#This Row],[Date]])</f>
        <v>2023</v>
      </c>
      <c r="L522" t="str">
        <f>"Q"&amp;ROUNDUP(MONTH(SalesData[[#This Row],[Date]])/3,0)</f>
        <v>Q3</v>
      </c>
      <c r="M522" s="1" t="d">
        <f>DATE(YEAR(SalesData[[#This Row],[Date]]),MONTH(SalesData[[#This Row],[Date]]),1)</f>
        <v>2023-08-01</v>
      </c>
      <c r="N52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3" spans="1:14">
      <c r="A523">
        <v>522</v>
      </c>
      <c r="B523" s="1" t="d">
        <v>2023-01-01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t="str">
        <f>TEXT(SalesData[[#This Row],[Date]],"yyyy-mm")</f>
        <v>2023-01</v>
      </c>
      <c r="K523">
        <f>YEAR(SalesData[[#This Row],[Date]])</f>
        <v>2023</v>
      </c>
      <c r="L523" t="str">
        <f>"Q"&amp;ROUNDUP(MONTH(SalesData[[#This Row],[Date]])/3,0)</f>
        <v>Q1</v>
      </c>
      <c r="M523" s="1" t="d">
        <f>DATE(YEAR(SalesData[[#This Row],[Date]]),MONTH(SalesData[[#This Row],[Date]]),1)</f>
        <v>2023-01-01</v>
      </c>
      <c r="N52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4" spans="1:14">
      <c r="A524">
        <v>523</v>
      </c>
      <c r="B524" s="1" t="d">
        <v>2023-09-24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t="str">
        <f>TEXT(SalesData[[#This Row],[Date]],"yyyy-mm")</f>
        <v>2023-09</v>
      </c>
      <c r="K524">
        <f>YEAR(SalesData[[#This Row],[Date]])</f>
        <v>2023</v>
      </c>
      <c r="L524" t="str">
        <f>"Q"&amp;ROUNDUP(MONTH(SalesData[[#This Row],[Date]])/3,0)</f>
        <v>Q3</v>
      </c>
      <c r="M524" s="1" t="d">
        <f>DATE(YEAR(SalesData[[#This Row],[Date]]),MONTH(SalesData[[#This Row],[Date]]),1)</f>
        <v>2023-09-01</v>
      </c>
      <c r="N52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25" spans="1:14">
      <c r="A525">
        <v>524</v>
      </c>
      <c r="B525" s="1" t="d">
        <v>2023-10-03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t="str">
        <f>TEXT(SalesData[[#This Row],[Date]],"yyyy-mm")</f>
        <v>2023-10</v>
      </c>
      <c r="K525">
        <f>YEAR(SalesData[[#This Row],[Date]])</f>
        <v>2023</v>
      </c>
      <c r="L525" t="str">
        <f>"Q"&amp;ROUNDUP(MONTH(SalesData[[#This Row],[Date]])/3,0)</f>
        <v>Q4</v>
      </c>
      <c r="M525" s="1" t="d">
        <f>DATE(YEAR(SalesData[[#This Row],[Date]]),MONTH(SalesData[[#This Row],[Date]]),1)</f>
        <v>2023-10-01</v>
      </c>
      <c r="N52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6" spans="1:14">
      <c r="A526">
        <v>525</v>
      </c>
      <c r="B526" s="1" t="d">
        <v>2023-12-18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t="str">
        <f>TEXT(SalesData[[#This Row],[Date]],"yyyy-mm")</f>
        <v>2023-12</v>
      </c>
      <c r="K526">
        <f>YEAR(SalesData[[#This Row],[Date]])</f>
        <v>2023</v>
      </c>
      <c r="L526" t="str">
        <f>"Q"&amp;ROUNDUP(MONTH(SalesData[[#This Row],[Date]])/3,0)</f>
        <v>Q4</v>
      </c>
      <c r="M526" s="1" t="d">
        <f>DATE(YEAR(SalesData[[#This Row],[Date]]),MONTH(SalesData[[#This Row],[Date]]),1)</f>
        <v>2023-12-01</v>
      </c>
      <c r="N52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27" spans="1:14">
      <c r="A527">
        <v>526</v>
      </c>
      <c r="B527" s="1" t="d">
        <v>2023-12-10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t="str">
        <f>TEXT(SalesData[[#This Row],[Date]],"yyyy-mm")</f>
        <v>2023-12</v>
      </c>
      <c r="K527">
        <f>YEAR(SalesData[[#This Row],[Date]])</f>
        <v>2023</v>
      </c>
      <c r="L527" t="str">
        <f>"Q"&amp;ROUNDUP(MONTH(SalesData[[#This Row],[Date]])/3,0)</f>
        <v>Q4</v>
      </c>
      <c r="M527" s="1" t="d">
        <f>DATE(YEAR(SalesData[[#This Row],[Date]]),MONTH(SalesData[[#This Row],[Date]]),1)</f>
        <v>2023-12-01</v>
      </c>
      <c r="N52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28" spans="1:14">
      <c r="A528">
        <v>527</v>
      </c>
      <c r="B528" s="1" t="d">
        <v>2023-04-11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t="str">
        <f>TEXT(SalesData[[#This Row],[Date]],"yyyy-mm")</f>
        <v>2023-04</v>
      </c>
      <c r="K528">
        <f>YEAR(SalesData[[#This Row],[Date]])</f>
        <v>2023</v>
      </c>
      <c r="L528" t="str">
        <f>"Q"&amp;ROUNDUP(MONTH(SalesData[[#This Row],[Date]])/3,0)</f>
        <v>Q2</v>
      </c>
      <c r="M528" s="1" t="d">
        <f>DATE(YEAR(SalesData[[#This Row],[Date]]),MONTH(SalesData[[#This Row],[Date]]),1)</f>
        <v>2023-04-01</v>
      </c>
      <c r="N52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29" spans="1:14">
      <c r="A529">
        <v>528</v>
      </c>
      <c r="B529" s="1" t="d">
        <v>2023-07-06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t="str">
        <f>TEXT(SalesData[[#This Row],[Date]],"yyyy-mm")</f>
        <v>2023-07</v>
      </c>
      <c r="K529">
        <f>YEAR(SalesData[[#This Row],[Date]])</f>
        <v>2023</v>
      </c>
      <c r="L529" t="str">
        <f>"Q"&amp;ROUNDUP(MONTH(SalesData[[#This Row],[Date]])/3,0)</f>
        <v>Q3</v>
      </c>
      <c r="M529" s="1" t="d">
        <f>DATE(YEAR(SalesData[[#This Row],[Date]]),MONTH(SalesData[[#This Row],[Date]]),1)</f>
        <v>2023-07-01</v>
      </c>
      <c r="N52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30" spans="1:14">
      <c r="A530">
        <v>529</v>
      </c>
      <c r="B530" s="1" t="d">
        <v>2023-08-09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t="str">
        <f>TEXT(SalesData[[#This Row],[Date]],"yyyy-mm")</f>
        <v>2023-08</v>
      </c>
      <c r="K530">
        <f>YEAR(SalesData[[#This Row],[Date]])</f>
        <v>2023</v>
      </c>
      <c r="L530" t="str">
        <f>"Q"&amp;ROUNDUP(MONTH(SalesData[[#This Row],[Date]])/3,0)</f>
        <v>Q3</v>
      </c>
      <c r="M530" s="1" t="d">
        <f>DATE(YEAR(SalesData[[#This Row],[Date]]),MONTH(SalesData[[#This Row],[Date]]),1)</f>
        <v>2023-08-01</v>
      </c>
      <c r="N53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31" spans="1:14">
      <c r="A531">
        <v>530</v>
      </c>
      <c r="B531" s="1" t="d">
        <v>2023-02-05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t="str">
        <f>TEXT(SalesData[[#This Row],[Date]],"yyyy-mm")</f>
        <v>2023-02</v>
      </c>
      <c r="K531">
        <f>YEAR(SalesData[[#This Row],[Date]])</f>
        <v>2023</v>
      </c>
      <c r="L531" t="str">
        <f>"Q"&amp;ROUNDUP(MONTH(SalesData[[#This Row],[Date]])/3,0)</f>
        <v>Q1</v>
      </c>
      <c r="M531" s="1" t="d">
        <f>DATE(YEAR(SalesData[[#This Row],[Date]]),MONTH(SalesData[[#This Row],[Date]]),1)</f>
        <v>2023-02-01</v>
      </c>
      <c r="N531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32" spans="1:14">
      <c r="A532">
        <v>531</v>
      </c>
      <c r="B532" s="1" t="d">
        <v>2023-12-07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t="str">
        <f>TEXT(SalesData[[#This Row],[Date]],"yyyy-mm")</f>
        <v>2023-12</v>
      </c>
      <c r="K532">
        <f>YEAR(SalesData[[#This Row],[Date]])</f>
        <v>2023</v>
      </c>
      <c r="L532" t="str">
        <f>"Q"&amp;ROUNDUP(MONTH(SalesData[[#This Row],[Date]])/3,0)</f>
        <v>Q4</v>
      </c>
      <c r="M532" s="1" t="d">
        <f>DATE(YEAR(SalesData[[#This Row],[Date]]),MONTH(SalesData[[#This Row],[Date]]),1)</f>
        <v>2023-12-01</v>
      </c>
      <c r="N53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33" spans="1:14">
      <c r="A533">
        <v>532</v>
      </c>
      <c r="B533" s="1" t="d">
        <v>2023-06-19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t="str">
        <f>TEXT(SalesData[[#This Row],[Date]],"yyyy-mm")</f>
        <v>2023-06</v>
      </c>
      <c r="K533">
        <f>YEAR(SalesData[[#This Row],[Date]])</f>
        <v>2023</v>
      </c>
      <c r="L533" t="str">
        <f>"Q"&amp;ROUNDUP(MONTH(SalesData[[#This Row],[Date]])/3,0)</f>
        <v>Q2</v>
      </c>
      <c r="M533" s="1" t="d">
        <f>DATE(YEAR(SalesData[[#This Row],[Date]]),MONTH(SalesData[[#This Row],[Date]]),1)</f>
        <v>2023-06-01</v>
      </c>
      <c r="N53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34" spans="1:14">
      <c r="A534">
        <v>533</v>
      </c>
      <c r="B534" s="1" t="d">
        <v>2023-11-16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t="str">
        <f>TEXT(SalesData[[#This Row],[Date]],"yyyy-mm")</f>
        <v>2023-11</v>
      </c>
      <c r="K534">
        <f>YEAR(SalesData[[#This Row],[Date]])</f>
        <v>2023</v>
      </c>
      <c r="L534" t="str">
        <f>"Q"&amp;ROUNDUP(MONTH(SalesData[[#This Row],[Date]])/3,0)</f>
        <v>Q4</v>
      </c>
      <c r="M534" s="1" t="d">
        <f>DATE(YEAR(SalesData[[#This Row],[Date]]),MONTH(SalesData[[#This Row],[Date]]),1)</f>
        <v>2023-11-01</v>
      </c>
      <c r="N534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35" spans="1:14">
      <c r="A535">
        <v>534</v>
      </c>
      <c r="B535" s="1" t="d">
        <v>2023-06-10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t="str">
        <f>TEXT(SalesData[[#This Row],[Date]],"yyyy-mm")</f>
        <v>2023-06</v>
      </c>
      <c r="K535">
        <f>YEAR(SalesData[[#This Row],[Date]])</f>
        <v>2023</v>
      </c>
      <c r="L535" t="str">
        <f>"Q"&amp;ROUNDUP(MONTH(SalesData[[#This Row],[Date]])/3,0)</f>
        <v>Q2</v>
      </c>
      <c r="M535" s="1" t="d">
        <f>DATE(YEAR(SalesData[[#This Row],[Date]]),MONTH(SalesData[[#This Row],[Date]]),1)</f>
        <v>2023-06-01</v>
      </c>
      <c r="N53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36" spans="1:14">
      <c r="A536">
        <v>535</v>
      </c>
      <c r="B536" s="1" t="d">
        <v>2023-12-06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t="str">
        <f>TEXT(SalesData[[#This Row],[Date]],"yyyy-mm")</f>
        <v>2023-12</v>
      </c>
      <c r="K536">
        <f>YEAR(SalesData[[#This Row],[Date]])</f>
        <v>2023</v>
      </c>
      <c r="L536" t="str">
        <f>"Q"&amp;ROUNDUP(MONTH(SalesData[[#This Row],[Date]])/3,0)</f>
        <v>Q4</v>
      </c>
      <c r="M536" s="1" t="d">
        <f>DATE(YEAR(SalesData[[#This Row],[Date]]),MONTH(SalesData[[#This Row],[Date]]),1)</f>
        <v>2023-12-01</v>
      </c>
      <c r="N53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37" spans="1:14">
      <c r="A537">
        <v>536</v>
      </c>
      <c r="B537" s="1" t="d">
        <v>2023-03-05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t="str">
        <f>TEXT(SalesData[[#This Row],[Date]],"yyyy-mm")</f>
        <v>2023-03</v>
      </c>
      <c r="K537">
        <f>YEAR(SalesData[[#This Row],[Date]])</f>
        <v>2023</v>
      </c>
      <c r="L537" t="str">
        <f>"Q"&amp;ROUNDUP(MONTH(SalesData[[#This Row],[Date]])/3,0)</f>
        <v>Q1</v>
      </c>
      <c r="M537" s="1" t="d">
        <f>DATE(YEAR(SalesData[[#This Row],[Date]]),MONTH(SalesData[[#This Row],[Date]]),1)</f>
        <v>2023-03-01</v>
      </c>
      <c r="N5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38" spans="1:14">
      <c r="A538">
        <v>537</v>
      </c>
      <c r="B538" s="1" t="d">
        <v>2023-06-03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t="str">
        <f>TEXT(SalesData[[#This Row],[Date]],"yyyy-mm")</f>
        <v>2023-06</v>
      </c>
      <c r="K538">
        <f>YEAR(SalesData[[#This Row],[Date]])</f>
        <v>2023</v>
      </c>
      <c r="L538" t="str">
        <f>"Q"&amp;ROUNDUP(MONTH(SalesData[[#This Row],[Date]])/3,0)</f>
        <v>Q2</v>
      </c>
      <c r="M538" s="1" t="d">
        <f>DATE(YEAR(SalesData[[#This Row],[Date]]),MONTH(SalesData[[#This Row],[Date]]),1)</f>
        <v>2023-06-01</v>
      </c>
      <c r="N53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39" spans="1:14">
      <c r="A539">
        <v>538</v>
      </c>
      <c r="B539" s="1" t="d">
        <v>2023-09-17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t="str">
        <f>TEXT(SalesData[[#This Row],[Date]],"yyyy-mm")</f>
        <v>2023-09</v>
      </c>
      <c r="K539">
        <f>YEAR(SalesData[[#This Row],[Date]])</f>
        <v>2023</v>
      </c>
      <c r="L539" t="str">
        <f>"Q"&amp;ROUNDUP(MONTH(SalesData[[#This Row],[Date]])/3,0)</f>
        <v>Q3</v>
      </c>
      <c r="M539" s="1" t="d">
        <f>DATE(YEAR(SalesData[[#This Row],[Date]]),MONTH(SalesData[[#This Row],[Date]]),1)</f>
        <v>2023-09-01</v>
      </c>
      <c r="N539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40" spans="1:14">
      <c r="A540">
        <v>539</v>
      </c>
      <c r="B540" s="1" t="d">
        <v>2023-06-08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t="str">
        <f>TEXT(SalesData[[#This Row],[Date]],"yyyy-mm")</f>
        <v>2023-06</v>
      </c>
      <c r="K540">
        <f>YEAR(SalesData[[#This Row],[Date]])</f>
        <v>2023</v>
      </c>
      <c r="L540" t="str">
        <f>"Q"&amp;ROUNDUP(MONTH(SalesData[[#This Row],[Date]])/3,0)</f>
        <v>Q2</v>
      </c>
      <c r="M540" s="1" t="d">
        <f>DATE(YEAR(SalesData[[#This Row],[Date]]),MONTH(SalesData[[#This Row],[Date]]),1)</f>
        <v>2023-06-01</v>
      </c>
      <c r="N54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41" spans="1:14">
      <c r="A541">
        <v>540</v>
      </c>
      <c r="B541" s="1" t="d">
        <v>2023-12-08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t="str">
        <f>TEXT(SalesData[[#This Row],[Date]],"yyyy-mm")</f>
        <v>2023-12</v>
      </c>
      <c r="K541">
        <f>YEAR(SalesData[[#This Row],[Date]])</f>
        <v>2023</v>
      </c>
      <c r="L541" t="str">
        <f>"Q"&amp;ROUNDUP(MONTH(SalesData[[#This Row],[Date]])/3,0)</f>
        <v>Q4</v>
      </c>
      <c r="M541" s="1" t="d">
        <f>DATE(YEAR(SalesData[[#This Row],[Date]]),MONTH(SalesData[[#This Row],[Date]]),1)</f>
        <v>2023-12-01</v>
      </c>
      <c r="N54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42" spans="1:14">
      <c r="A542">
        <v>541</v>
      </c>
      <c r="B542" s="1" t="d">
        <v>2023-07-29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t="str">
        <f>TEXT(SalesData[[#This Row],[Date]],"yyyy-mm")</f>
        <v>2023-07</v>
      </c>
      <c r="K542">
        <f>YEAR(SalesData[[#This Row],[Date]])</f>
        <v>2023</v>
      </c>
      <c r="L542" t="str">
        <f>"Q"&amp;ROUNDUP(MONTH(SalesData[[#This Row],[Date]])/3,0)</f>
        <v>Q3</v>
      </c>
      <c r="M542" s="1" t="d">
        <f>DATE(YEAR(SalesData[[#This Row],[Date]]),MONTH(SalesData[[#This Row],[Date]]),1)</f>
        <v>2023-07-01</v>
      </c>
      <c r="N54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43" spans="1:14">
      <c r="A543">
        <v>542</v>
      </c>
      <c r="B543" s="1" t="d">
        <v>2023-06-17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t="str">
        <f>TEXT(SalesData[[#This Row],[Date]],"yyyy-mm")</f>
        <v>2023-06</v>
      </c>
      <c r="K543">
        <f>YEAR(SalesData[[#This Row],[Date]])</f>
        <v>2023</v>
      </c>
      <c r="L543" t="str">
        <f>"Q"&amp;ROUNDUP(MONTH(SalesData[[#This Row],[Date]])/3,0)</f>
        <v>Q2</v>
      </c>
      <c r="M543" s="1" t="d">
        <f>DATE(YEAR(SalesData[[#This Row],[Date]]),MONTH(SalesData[[#This Row],[Date]]),1)</f>
        <v>2023-06-01</v>
      </c>
      <c r="N54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44" spans="1:14">
      <c r="A544">
        <v>543</v>
      </c>
      <c r="B544" s="1" t="d">
        <v>2023-07-26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t="str">
        <f>TEXT(SalesData[[#This Row],[Date]],"yyyy-mm")</f>
        <v>2023-07</v>
      </c>
      <c r="K544">
        <f>YEAR(SalesData[[#This Row],[Date]])</f>
        <v>2023</v>
      </c>
      <c r="L544" t="str">
        <f>"Q"&amp;ROUNDUP(MONTH(SalesData[[#This Row],[Date]])/3,0)</f>
        <v>Q3</v>
      </c>
      <c r="M544" s="1" t="d">
        <f>DATE(YEAR(SalesData[[#This Row],[Date]]),MONTH(SalesData[[#This Row],[Date]]),1)</f>
        <v>2023-07-01</v>
      </c>
      <c r="N54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45" spans="1:14">
      <c r="A545">
        <v>544</v>
      </c>
      <c r="B545" s="1" t="d">
        <v>2023-12-23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t="str">
        <f>TEXT(SalesData[[#This Row],[Date]],"yyyy-mm")</f>
        <v>2023-12</v>
      </c>
      <c r="K545">
        <f>YEAR(SalesData[[#This Row],[Date]])</f>
        <v>2023</v>
      </c>
      <c r="L545" t="str">
        <f>"Q"&amp;ROUNDUP(MONTH(SalesData[[#This Row],[Date]])/3,0)</f>
        <v>Q4</v>
      </c>
      <c r="M545" s="1" t="d">
        <f>DATE(YEAR(SalesData[[#This Row],[Date]]),MONTH(SalesData[[#This Row],[Date]]),1)</f>
        <v>2023-12-01</v>
      </c>
      <c r="N54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46" spans="1:14">
      <c r="A546">
        <v>545</v>
      </c>
      <c r="B546" s="1" t="d">
        <v>2023-06-01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t="str">
        <f>TEXT(SalesData[[#This Row],[Date]],"yyyy-mm")</f>
        <v>2023-06</v>
      </c>
      <c r="K546">
        <f>YEAR(SalesData[[#This Row],[Date]])</f>
        <v>2023</v>
      </c>
      <c r="L546" t="str">
        <f>"Q"&amp;ROUNDUP(MONTH(SalesData[[#This Row],[Date]])/3,0)</f>
        <v>Q2</v>
      </c>
      <c r="M546" s="1" t="d">
        <f>DATE(YEAR(SalesData[[#This Row],[Date]]),MONTH(SalesData[[#This Row],[Date]]),1)</f>
        <v>2023-06-01</v>
      </c>
      <c r="N54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47" spans="1:14">
      <c r="A547">
        <v>546</v>
      </c>
      <c r="B547" s="1" t="d">
        <v>2023-10-11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t="str">
        <f>TEXT(SalesData[[#This Row],[Date]],"yyyy-mm")</f>
        <v>2023-10</v>
      </c>
      <c r="K547">
        <f>YEAR(SalesData[[#This Row],[Date]])</f>
        <v>2023</v>
      </c>
      <c r="L547" t="str">
        <f>"Q"&amp;ROUNDUP(MONTH(SalesData[[#This Row],[Date]])/3,0)</f>
        <v>Q4</v>
      </c>
      <c r="M547" s="1" t="d">
        <f>DATE(YEAR(SalesData[[#This Row],[Date]]),MONTH(SalesData[[#This Row],[Date]]),1)</f>
        <v>2023-10-01</v>
      </c>
      <c r="N54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48" spans="1:14">
      <c r="A548">
        <v>547</v>
      </c>
      <c r="B548" s="1" t="d">
        <v>2023-03-07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t="str">
        <f>TEXT(SalesData[[#This Row],[Date]],"yyyy-mm")</f>
        <v>2023-03</v>
      </c>
      <c r="K548">
        <f>YEAR(SalesData[[#This Row],[Date]])</f>
        <v>2023</v>
      </c>
      <c r="L548" t="str">
        <f>"Q"&amp;ROUNDUP(MONTH(SalesData[[#This Row],[Date]])/3,0)</f>
        <v>Q1</v>
      </c>
      <c r="M548" s="1" t="d">
        <f>DATE(YEAR(SalesData[[#This Row],[Date]]),MONTH(SalesData[[#This Row],[Date]]),1)</f>
        <v>2023-03-01</v>
      </c>
      <c r="N54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49" spans="1:14">
      <c r="A549">
        <v>548</v>
      </c>
      <c r="B549" s="1" t="d">
        <v>2023-04-09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t="str">
        <f>TEXT(SalesData[[#This Row],[Date]],"yyyy-mm")</f>
        <v>2023-04</v>
      </c>
      <c r="K549">
        <f>YEAR(SalesData[[#This Row],[Date]])</f>
        <v>2023</v>
      </c>
      <c r="L549" t="str">
        <f>"Q"&amp;ROUNDUP(MONTH(SalesData[[#This Row],[Date]])/3,0)</f>
        <v>Q2</v>
      </c>
      <c r="M549" s="1" t="d">
        <f>DATE(YEAR(SalesData[[#This Row],[Date]]),MONTH(SalesData[[#This Row],[Date]]),1)</f>
        <v>2023-04-01</v>
      </c>
      <c r="N54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50" spans="1:14">
      <c r="A550">
        <v>549</v>
      </c>
      <c r="B550" s="1" t="d">
        <v>2023-08-04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t="str">
        <f>TEXT(SalesData[[#This Row],[Date]],"yyyy-mm")</f>
        <v>2023-08</v>
      </c>
      <c r="K550">
        <f>YEAR(SalesData[[#This Row],[Date]])</f>
        <v>2023</v>
      </c>
      <c r="L550" t="str">
        <f>"Q"&amp;ROUNDUP(MONTH(SalesData[[#This Row],[Date]])/3,0)</f>
        <v>Q3</v>
      </c>
      <c r="M550" s="1" t="d">
        <f>DATE(YEAR(SalesData[[#This Row],[Date]]),MONTH(SalesData[[#This Row],[Date]]),1)</f>
        <v>2023-08-01</v>
      </c>
      <c r="N55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51" spans="1:14">
      <c r="A551">
        <v>550</v>
      </c>
      <c r="B551" s="1" t="d">
        <v>2023-12-07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t="str">
        <f>TEXT(SalesData[[#This Row],[Date]],"yyyy-mm")</f>
        <v>2023-12</v>
      </c>
      <c r="K551">
        <f>YEAR(SalesData[[#This Row],[Date]])</f>
        <v>2023</v>
      </c>
      <c r="L551" t="str">
        <f>"Q"&amp;ROUNDUP(MONTH(SalesData[[#This Row],[Date]])/3,0)</f>
        <v>Q4</v>
      </c>
      <c r="M551" s="1" t="d">
        <f>DATE(YEAR(SalesData[[#This Row],[Date]]),MONTH(SalesData[[#This Row],[Date]]),1)</f>
        <v>2023-12-01</v>
      </c>
      <c r="N55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52" spans="1:14">
      <c r="A552">
        <v>551</v>
      </c>
      <c r="B552" s="1" t="d">
        <v>2023-07-14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t="str">
        <f>TEXT(SalesData[[#This Row],[Date]],"yyyy-mm")</f>
        <v>2023-07</v>
      </c>
      <c r="K552">
        <f>YEAR(SalesData[[#This Row],[Date]])</f>
        <v>2023</v>
      </c>
      <c r="L552" t="str">
        <f>"Q"&amp;ROUNDUP(MONTH(SalesData[[#This Row],[Date]])/3,0)</f>
        <v>Q3</v>
      </c>
      <c r="M552" s="1" t="d">
        <f>DATE(YEAR(SalesData[[#This Row],[Date]]),MONTH(SalesData[[#This Row],[Date]]),1)</f>
        <v>2023-07-01</v>
      </c>
      <c r="N55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53" spans="1:14">
      <c r="A553">
        <v>552</v>
      </c>
      <c r="B553" s="1" t="d">
        <v>2023-12-13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t="str">
        <f>TEXT(SalesData[[#This Row],[Date]],"yyyy-mm")</f>
        <v>2023-12</v>
      </c>
      <c r="K553">
        <f>YEAR(SalesData[[#This Row],[Date]])</f>
        <v>2023</v>
      </c>
      <c r="L553" t="str">
        <f>"Q"&amp;ROUNDUP(MONTH(SalesData[[#This Row],[Date]])/3,0)</f>
        <v>Q4</v>
      </c>
      <c r="M553" s="1" t="d">
        <f>DATE(YEAR(SalesData[[#This Row],[Date]]),MONTH(SalesData[[#This Row],[Date]]),1)</f>
        <v>2023-12-01</v>
      </c>
      <c r="N55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54" spans="1:14">
      <c r="A554">
        <v>553</v>
      </c>
      <c r="B554" s="1" t="d">
        <v>2023-03-31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t="str">
        <f>TEXT(SalesData[[#This Row],[Date]],"yyyy-mm")</f>
        <v>2023-03</v>
      </c>
      <c r="K554">
        <f>YEAR(SalesData[[#This Row],[Date]])</f>
        <v>2023</v>
      </c>
      <c r="L554" t="str">
        <f>"Q"&amp;ROUNDUP(MONTH(SalesData[[#This Row],[Date]])/3,0)</f>
        <v>Q1</v>
      </c>
      <c r="M554" s="1" t="d">
        <f>DATE(YEAR(SalesData[[#This Row],[Date]]),MONTH(SalesData[[#This Row],[Date]]),1)</f>
        <v>2023-03-01</v>
      </c>
      <c r="N55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55" spans="1:14">
      <c r="A555">
        <v>554</v>
      </c>
      <c r="B555" s="1" t="d">
        <v>2023-11-12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t="str">
        <f>TEXT(SalesData[[#This Row],[Date]],"yyyy-mm")</f>
        <v>2023-11</v>
      </c>
      <c r="K555">
        <f>YEAR(SalesData[[#This Row],[Date]])</f>
        <v>2023</v>
      </c>
      <c r="L555" t="str">
        <f>"Q"&amp;ROUNDUP(MONTH(SalesData[[#This Row],[Date]])/3,0)</f>
        <v>Q4</v>
      </c>
      <c r="M555" s="1" t="d">
        <f>DATE(YEAR(SalesData[[#This Row],[Date]]),MONTH(SalesData[[#This Row],[Date]]),1)</f>
        <v>2023-11-01</v>
      </c>
      <c r="N5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56" spans="1:14">
      <c r="A556">
        <v>555</v>
      </c>
      <c r="B556" s="1" t="d">
        <v>2023-10-19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t="str">
        <f>TEXT(SalesData[[#This Row],[Date]],"yyyy-mm")</f>
        <v>2023-10</v>
      </c>
      <c r="K556">
        <f>YEAR(SalesData[[#This Row],[Date]])</f>
        <v>2023</v>
      </c>
      <c r="L556" t="str">
        <f>"Q"&amp;ROUNDUP(MONTH(SalesData[[#This Row],[Date]])/3,0)</f>
        <v>Q4</v>
      </c>
      <c r="M556" s="1" t="d">
        <f>DATE(YEAR(SalesData[[#This Row],[Date]]),MONTH(SalesData[[#This Row],[Date]]),1)</f>
        <v>2023-10-01</v>
      </c>
      <c r="N55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57" spans="1:14">
      <c r="A557">
        <v>556</v>
      </c>
      <c r="B557" s="1" t="d">
        <v>2023-06-04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t="str">
        <f>TEXT(SalesData[[#This Row],[Date]],"yyyy-mm")</f>
        <v>2023-06</v>
      </c>
      <c r="K557">
        <f>YEAR(SalesData[[#This Row],[Date]])</f>
        <v>2023</v>
      </c>
      <c r="L557" t="str">
        <f>"Q"&amp;ROUNDUP(MONTH(SalesData[[#This Row],[Date]])/3,0)</f>
        <v>Q2</v>
      </c>
      <c r="M557" s="1" t="d">
        <f>DATE(YEAR(SalesData[[#This Row],[Date]]),MONTH(SalesData[[#This Row],[Date]]),1)</f>
        <v>2023-06-01</v>
      </c>
      <c r="N557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58" spans="1:14">
      <c r="A558">
        <v>557</v>
      </c>
      <c r="B558" s="1" t="d">
        <v>2023-07-27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t="str">
        <f>TEXT(SalesData[[#This Row],[Date]],"yyyy-mm")</f>
        <v>2023-07</v>
      </c>
      <c r="K558">
        <f>YEAR(SalesData[[#This Row],[Date]])</f>
        <v>2023</v>
      </c>
      <c r="L558" t="str">
        <f>"Q"&amp;ROUNDUP(MONTH(SalesData[[#This Row],[Date]])/3,0)</f>
        <v>Q3</v>
      </c>
      <c r="M558" s="1" t="d">
        <f>DATE(YEAR(SalesData[[#This Row],[Date]]),MONTH(SalesData[[#This Row],[Date]]),1)</f>
        <v>2023-07-01</v>
      </c>
      <c r="N55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59" spans="1:14">
      <c r="A559">
        <v>558</v>
      </c>
      <c r="B559" s="1" t="d">
        <v>2023-10-08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t="str">
        <f>TEXT(SalesData[[#This Row],[Date]],"yyyy-mm")</f>
        <v>2023-10</v>
      </c>
      <c r="K559">
        <f>YEAR(SalesData[[#This Row],[Date]])</f>
        <v>2023</v>
      </c>
      <c r="L559" t="str">
        <f>"Q"&amp;ROUNDUP(MONTH(SalesData[[#This Row],[Date]])/3,0)</f>
        <v>Q4</v>
      </c>
      <c r="M559" s="1" t="d">
        <f>DATE(YEAR(SalesData[[#This Row],[Date]]),MONTH(SalesData[[#This Row],[Date]]),1)</f>
        <v>2023-10-01</v>
      </c>
      <c r="N55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60" spans="1:14">
      <c r="A560">
        <v>559</v>
      </c>
      <c r="B560" s="1" t="d">
        <v>2023-01-01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t="str">
        <f>TEXT(SalesData[[#This Row],[Date]],"yyyy-mm")</f>
        <v>2023-01</v>
      </c>
      <c r="K560">
        <f>YEAR(SalesData[[#This Row],[Date]])</f>
        <v>2023</v>
      </c>
      <c r="L560" t="str">
        <f>"Q"&amp;ROUNDUP(MONTH(SalesData[[#This Row],[Date]])/3,0)</f>
        <v>Q1</v>
      </c>
      <c r="M560" s="1" t="d">
        <f>DATE(YEAR(SalesData[[#This Row],[Date]]),MONTH(SalesData[[#This Row],[Date]]),1)</f>
        <v>2023-01-01</v>
      </c>
      <c r="N56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61" spans="1:14">
      <c r="A561">
        <v>560</v>
      </c>
      <c r="B561" s="1" t="d">
        <v>2023-06-05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t="str">
        <f>TEXT(SalesData[[#This Row],[Date]],"yyyy-mm")</f>
        <v>2023-06</v>
      </c>
      <c r="K561">
        <f>YEAR(SalesData[[#This Row],[Date]])</f>
        <v>2023</v>
      </c>
      <c r="L561" t="str">
        <f>"Q"&amp;ROUNDUP(MONTH(SalesData[[#This Row],[Date]])/3,0)</f>
        <v>Q2</v>
      </c>
      <c r="M561" s="1" t="d">
        <f>DATE(YEAR(SalesData[[#This Row],[Date]]),MONTH(SalesData[[#This Row],[Date]]),1)</f>
        <v>2023-06-01</v>
      </c>
      <c r="N56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62" spans="1:14">
      <c r="A562">
        <v>561</v>
      </c>
      <c r="B562" s="1" t="d">
        <v>2023-05-27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t="str">
        <f>TEXT(SalesData[[#This Row],[Date]],"yyyy-mm")</f>
        <v>2023-05</v>
      </c>
      <c r="K562">
        <f>YEAR(SalesData[[#This Row],[Date]])</f>
        <v>2023</v>
      </c>
      <c r="L562" t="str">
        <f>"Q"&amp;ROUNDUP(MONTH(SalesData[[#This Row],[Date]])/3,0)</f>
        <v>Q2</v>
      </c>
      <c r="M562" s="1" t="d">
        <f>DATE(YEAR(SalesData[[#This Row],[Date]]),MONTH(SalesData[[#This Row],[Date]]),1)</f>
        <v>2023-05-01</v>
      </c>
      <c r="N56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63" spans="1:14">
      <c r="A563">
        <v>562</v>
      </c>
      <c r="B563" s="1" t="d">
        <v>2023-04-18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t="str">
        <f>TEXT(SalesData[[#This Row],[Date]],"yyyy-mm")</f>
        <v>2023-04</v>
      </c>
      <c r="K563">
        <f>YEAR(SalesData[[#This Row],[Date]])</f>
        <v>2023</v>
      </c>
      <c r="L563" t="str">
        <f>"Q"&amp;ROUNDUP(MONTH(SalesData[[#This Row],[Date]])/3,0)</f>
        <v>Q2</v>
      </c>
      <c r="M563" s="1" t="d">
        <f>DATE(YEAR(SalesData[[#This Row],[Date]]),MONTH(SalesData[[#This Row],[Date]]),1)</f>
        <v>2023-04-01</v>
      </c>
      <c r="N56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64" spans="1:14">
      <c r="A564">
        <v>563</v>
      </c>
      <c r="B564" s="1" t="d">
        <v>2023-08-09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t="str">
        <f>TEXT(SalesData[[#This Row],[Date]],"yyyy-mm")</f>
        <v>2023-08</v>
      </c>
      <c r="K564">
        <f>YEAR(SalesData[[#This Row],[Date]])</f>
        <v>2023</v>
      </c>
      <c r="L564" t="str">
        <f>"Q"&amp;ROUNDUP(MONTH(SalesData[[#This Row],[Date]])/3,0)</f>
        <v>Q3</v>
      </c>
      <c r="M564" s="1" t="d">
        <f>DATE(YEAR(SalesData[[#This Row],[Date]]),MONTH(SalesData[[#This Row],[Date]]),1)</f>
        <v>2023-08-01</v>
      </c>
      <c r="N56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65" spans="1:14">
      <c r="A565">
        <v>564</v>
      </c>
      <c r="B565" s="1" t="d">
        <v>2023-10-24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t="str">
        <f>TEXT(SalesData[[#This Row],[Date]],"yyyy-mm")</f>
        <v>2023-10</v>
      </c>
      <c r="K565">
        <f>YEAR(SalesData[[#This Row],[Date]])</f>
        <v>2023</v>
      </c>
      <c r="L565" t="str">
        <f>"Q"&amp;ROUNDUP(MONTH(SalesData[[#This Row],[Date]])/3,0)</f>
        <v>Q4</v>
      </c>
      <c r="M565" s="1" t="d">
        <f>DATE(YEAR(SalesData[[#This Row],[Date]]),MONTH(SalesData[[#This Row],[Date]]),1)</f>
        <v>2023-10-01</v>
      </c>
      <c r="N56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66" spans="1:14">
      <c r="A566">
        <v>565</v>
      </c>
      <c r="B566" s="1" t="d">
        <v>2023-11-07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t="str">
        <f>TEXT(SalesData[[#This Row],[Date]],"yyyy-mm")</f>
        <v>2023-11</v>
      </c>
      <c r="K566">
        <f>YEAR(SalesData[[#This Row],[Date]])</f>
        <v>2023</v>
      </c>
      <c r="L566" t="str">
        <f>"Q"&amp;ROUNDUP(MONTH(SalesData[[#This Row],[Date]])/3,0)</f>
        <v>Q4</v>
      </c>
      <c r="M566" s="1" t="d">
        <f>DATE(YEAR(SalesData[[#This Row],[Date]]),MONTH(SalesData[[#This Row],[Date]]),1)</f>
        <v>2023-11-01</v>
      </c>
      <c r="N56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67" spans="1:14">
      <c r="A567">
        <v>566</v>
      </c>
      <c r="B567" s="1" t="d">
        <v>2023-12-02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t="str">
        <f>TEXT(SalesData[[#This Row],[Date]],"yyyy-mm")</f>
        <v>2023-12</v>
      </c>
      <c r="K567">
        <f>YEAR(SalesData[[#This Row],[Date]])</f>
        <v>2023</v>
      </c>
      <c r="L567" t="str">
        <f>"Q"&amp;ROUNDUP(MONTH(SalesData[[#This Row],[Date]])/3,0)</f>
        <v>Q4</v>
      </c>
      <c r="M567" s="1" t="d">
        <f>DATE(YEAR(SalesData[[#This Row],[Date]]),MONTH(SalesData[[#This Row],[Date]]),1)</f>
        <v>2023-12-01</v>
      </c>
      <c r="N56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68" spans="1:14">
      <c r="A568">
        <v>567</v>
      </c>
      <c r="B568" s="1" t="d">
        <v>2023-06-14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t="str">
        <f>TEXT(SalesData[[#This Row],[Date]],"yyyy-mm")</f>
        <v>2023-06</v>
      </c>
      <c r="K568">
        <f>YEAR(SalesData[[#This Row],[Date]])</f>
        <v>2023</v>
      </c>
      <c r="L568" t="str">
        <f>"Q"&amp;ROUNDUP(MONTH(SalesData[[#This Row],[Date]])/3,0)</f>
        <v>Q2</v>
      </c>
      <c r="M568" s="1" t="d">
        <f>DATE(YEAR(SalesData[[#This Row],[Date]]),MONTH(SalesData[[#This Row],[Date]]),1)</f>
        <v>2023-06-01</v>
      </c>
      <c r="N56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69" spans="1:14">
      <c r="A569">
        <v>568</v>
      </c>
      <c r="B569" s="1" t="d">
        <v>2023-08-27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t="str">
        <f>TEXT(SalesData[[#This Row],[Date]],"yyyy-mm")</f>
        <v>2023-08</v>
      </c>
      <c r="K569">
        <f>YEAR(SalesData[[#This Row],[Date]])</f>
        <v>2023</v>
      </c>
      <c r="L569" t="str">
        <f>"Q"&amp;ROUNDUP(MONTH(SalesData[[#This Row],[Date]])/3,0)</f>
        <v>Q3</v>
      </c>
      <c r="M569" s="1" t="d">
        <f>DATE(YEAR(SalesData[[#This Row],[Date]]),MONTH(SalesData[[#This Row],[Date]]),1)</f>
        <v>2023-08-01</v>
      </c>
      <c r="N56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70" spans="1:14">
      <c r="A570">
        <v>569</v>
      </c>
      <c r="B570" s="1" t="d">
        <v>2023-08-15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t="str">
        <f>TEXT(SalesData[[#This Row],[Date]],"yyyy-mm")</f>
        <v>2023-08</v>
      </c>
      <c r="K570">
        <f>YEAR(SalesData[[#This Row],[Date]])</f>
        <v>2023</v>
      </c>
      <c r="L570" t="str">
        <f>"Q"&amp;ROUNDUP(MONTH(SalesData[[#This Row],[Date]])/3,0)</f>
        <v>Q3</v>
      </c>
      <c r="M570" s="1" t="d">
        <f>DATE(YEAR(SalesData[[#This Row],[Date]]),MONTH(SalesData[[#This Row],[Date]]),1)</f>
        <v>2023-08-01</v>
      </c>
      <c r="N57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71" spans="1:14">
      <c r="A571">
        <v>570</v>
      </c>
      <c r="B571" s="1" t="d">
        <v>2023-08-15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t="str">
        <f>TEXT(SalesData[[#This Row],[Date]],"yyyy-mm")</f>
        <v>2023-08</v>
      </c>
      <c r="K571">
        <f>YEAR(SalesData[[#This Row],[Date]])</f>
        <v>2023</v>
      </c>
      <c r="L571" t="str">
        <f>"Q"&amp;ROUNDUP(MONTH(SalesData[[#This Row],[Date]])/3,0)</f>
        <v>Q3</v>
      </c>
      <c r="M571" s="1" t="d">
        <f>DATE(YEAR(SalesData[[#This Row],[Date]]),MONTH(SalesData[[#This Row],[Date]]),1)</f>
        <v>2023-08-01</v>
      </c>
      <c r="N57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72" spans="1:14">
      <c r="A572">
        <v>571</v>
      </c>
      <c r="B572" s="1" t="d">
        <v>2023-12-12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t="str">
        <f>TEXT(SalesData[[#This Row],[Date]],"yyyy-mm")</f>
        <v>2023-12</v>
      </c>
      <c r="K572">
        <f>YEAR(SalesData[[#This Row],[Date]])</f>
        <v>2023</v>
      </c>
      <c r="L572" t="str">
        <f>"Q"&amp;ROUNDUP(MONTH(SalesData[[#This Row],[Date]])/3,0)</f>
        <v>Q4</v>
      </c>
      <c r="M572" s="1" t="d">
        <f>DATE(YEAR(SalesData[[#This Row],[Date]]),MONTH(SalesData[[#This Row],[Date]]),1)</f>
        <v>2023-12-01</v>
      </c>
      <c r="N57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73" spans="1:14">
      <c r="A573">
        <v>572</v>
      </c>
      <c r="B573" s="1" t="d">
        <v>2023-04-20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t="str">
        <f>TEXT(SalesData[[#This Row],[Date]],"yyyy-mm")</f>
        <v>2023-04</v>
      </c>
      <c r="K573">
        <f>YEAR(SalesData[[#This Row],[Date]])</f>
        <v>2023</v>
      </c>
      <c r="L573" t="str">
        <f>"Q"&amp;ROUNDUP(MONTH(SalesData[[#This Row],[Date]])/3,0)</f>
        <v>Q2</v>
      </c>
      <c r="M573" s="1" t="d">
        <f>DATE(YEAR(SalesData[[#This Row],[Date]]),MONTH(SalesData[[#This Row],[Date]]),1)</f>
        <v>2023-04-01</v>
      </c>
      <c r="N57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74" spans="1:14">
      <c r="A574">
        <v>573</v>
      </c>
      <c r="B574" s="1" t="d">
        <v>2023-09-19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t="str">
        <f>TEXT(SalesData[[#This Row],[Date]],"yyyy-mm")</f>
        <v>2023-09</v>
      </c>
      <c r="K574">
        <f>YEAR(SalesData[[#This Row],[Date]])</f>
        <v>2023</v>
      </c>
      <c r="L574" t="str">
        <f>"Q"&amp;ROUNDUP(MONTH(SalesData[[#This Row],[Date]])/3,0)</f>
        <v>Q3</v>
      </c>
      <c r="M574" s="1" t="d">
        <f>DATE(YEAR(SalesData[[#This Row],[Date]]),MONTH(SalesData[[#This Row],[Date]]),1)</f>
        <v>2023-09-01</v>
      </c>
      <c r="N57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75" spans="1:14">
      <c r="A575">
        <v>574</v>
      </c>
      <c r="B575" s="1" t="d">
        <v>2023-08-31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t="str">
        <f>TEXT(SalesData[[#This Row],[Date]],"yyyy-mm")</f>
        <v>2023-08</v>
      </c>
      <c r="K575">
        <f>YEAR(SalesData[[#This Row],[Date]])</f>
        <v>2023</v>
      </c>
      <c r="L575" t="str">
        <f>"Q"&amp;ROUNDUP(MONTH(SalesData[[#This Row],[Date]])/3,0)</f>
        <v>Q3</v>
      </c>
      <c r="M575" s="1" t="d">
        <f>DATE(YEAR(SalesData[[#This Row],[Date]]),MONTH(SalesData[[#This Row],[Date]]),1)</f>
        <v>2023-08-01</v>
      </c>
      <c r="N57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76" spans="1:14">
      <c r="A576">
        <v>575</v>
      </c>
      <c r="B576" s="1" t="d">
        <v>2023-03-28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t="str">
        <f>TEXT(SalesData[[#This Row],[Date]],"yyyy-mm")</f>
        <v>2023-03</v>
      </c>
      <c r="K576">
        <f>YEAR(SalesData[[#This Row],[Date]])</f>
        <v>2023</v>
      </c>
      <c r="L576" t="str">
        <f>"Q"&amp;ROUNDUP(MONTH(SalesData[[#This Row],[Date]])/3,0)</f>
        <v>Q1</v>
      </c>
      <c r="M576" s="1" t="d">
        <f>DATE(YEAR(SalesData[[#This Row],[Date]]),MONTH(SalesData[[#This Row],[Date]]),1)</f>
        <v>2023-03-01</v>
      </c>
      <c r="N57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77" spans="1:14">
      <c r="A577">
        <v>576</v>
      </c>
      <c r="B577" s="1" t="d">
        <v>2023-12-04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t="str">
        <f>TEXT(SalesData[[#This Row],[Date]],"yyyy-mm")</f>
        <v>2023-12</v>
      </c>
      <c r="K577">
        <f>YEAR(SalesData[[#This Row],[Date]])</f>
        <v>2023</v>
      </c>
      <c r="L577" t="str">
        <f>"Q"&amp;ROUNDUP(MONTH(SalesData[[#This Row],[Date]])/3,0)</f>
        <v>Q4</v>
      </c>
      <c r="M577" s="1" t="d">
        <f>DATE(YEAR(SalesData[[#This Row],[Date]]),MONTH(SalesData[[#This Row],[Date]]),1)</f>
        <v>2023-12-01</v>
      </c>
      <c r="N57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78" spans="1:14">
      <c r="A578">
        <v>577</v>
      </c>
      <c r="B578" s="1" t="d">
        <v>2023-02-13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t="str">
        <f>TEXT(SalesData[[#This Row],[Date]],"yyyy-mm")</f>
        <v>2023-02</v>
      </c>
      <c r="K578">
        <f>YEAR(SalesData[[#This Row],[Date]])</f>
        <v>2023</v>
      </c>
      <c r="L578" t="str">
        <f>"Q"&amp;ROUNDUP(MONTH(SalesData[[#This Row],[Date]])/3,0)</f>
        <v>Q1</v>
      </c>
      <c r="M578" s="1" t="d">
        <f>DATE(YEAR(SalesData[[#This Row],[Date]]),MONTH(SalesData[[#This Row],[Date]]),1)</f>
        <v>2023-02-01</v>
      </c>
      <c r="N57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79" spans="1:14">
      <c r="A579">
        <v>578</v>
      </c>
      <c r="B579" s="1" t="d">
        <v>2023-05-26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t="str">
        <f>TEXT(SalesData[[#This Row],[Date]],"yyyy-mm")</f>
        <v>2023-05</v>
      </c>
      <c r="K579">
        <f>YEAR(SalesData[[#This Row],[Date]])</f>
        <v>2023</v>
      </c>
      <c r="L579" t="str">
        <f>"Q"&amp;ROUNDUP(MONTH(SalesData[[#This Row],[Date]])/3,0)</f>
        <v>Q2</v>
      </c>
      <c r="M579" s="1" t="d">
        <f>DATE(YEAR(SalesData[[#This Row],[Date]]),MONTH(SalesData[[#This Row],[Date]]),1)</f>
        <v>2023-05-01</v>
      </c>
      <c r="N57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80" spans="1:14">
      <c r="A580">
        <v>579</v>
      </c>
      <c r="B580" s="1" t="d">
        <v>2023-09-21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t="str">
        <f>TEXT(SalesData[[#This Row],[Date]],"yyyy-mm")</f>
        <v>2023-09</v>
      </c>
      <c r="K580">
        <f>YEAR(SalesData[[#This Row],[Date]])</f>
        <v>2023</v>
      </c>
      <c r="L580" t="str">
        <f>"Q"&amp;ROUNDUP(MONTH(SalesData[[#This Row],[Date]])/3,0)</f>
        <v>Q3</v>
      </c>
      <c r="M580" s="1" t="d">
        <f>DATE(YEAR(SalesData[[#This Row],[Date]]),MONTH(SalesData[[#This Row],[Date]]),1)</f>
        <v>2023-09-01</v>
      </c>
      <c r="N58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81" spans="1:14">
      <c r="A581">
        <v>580</v>
      </c>
      <c r="B581" s="1" t="d">
        <v>2023-12-06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t="str">
        <f>TEXT(SalesData[[#This Row],[Date]],"yyyy-mm")</f>
        <v>2023-12</v>
      </c>
      <c r="K581">
        <f>YEAR(SalesData[[#This Row],[Date]])</f>
        <v>2023</v>
      </c>
      <c r="L581" t="str">
        <f>"Q"&amp;ROUNDUP(MONTH(SalesData[[#This Row],[Date]])/3,0)</f>
        <v>Q4</v>
      </c>
      <c r="M581" s="1" t="d">
        <f>DATE(YEAR(SalesData[[#This Row],[Date]]),MONTH(SalesData[[#This Row],[Date]]),1)</f>
        <v>2023-12-01</v>
      </c>
      <c r="N58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82" spans="1:14">
      <c r="A582">
        <v>581</v>
      </c>
      <c r="B582" s="1" t="d">
        <v>2023-11-21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t="str">
        <f>TEXT(SalesData[[#This Row],[Date]],"yyyy-mm")</f>
        <v>2023-11</v>
      </c>
      <c r="K582">
        <f>YEAR(SalesData[[#This Row],[Date]])</f>
        <v>2023</v>
      </c>
      <c r="L582" t="str">
        <f>"Q"&amp;ROUNDUP(MONTH(SalesData[[#This Row],[Date]])/3,0)</f>
        <v>Q4</v>
      </c>
      <c r="M582" s="1" t="d">
        <f>DATE(YEAR(SalesData[[#This Row],[Date]]),MONTH(SalesData[[#This Row],[Date]]),1)</f>
        <v>2023-11-01</v>
      </c>
      <c r="N58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83" spans="1:14">
      <c r="A583">
        <v>582</v>
      </c>
      <c r="B583" s="1" t="d">
        <v>2023-11-14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t="str">
        <f>TEXT(SalesData[[#This Row],[Date]],"yyyy-mm")</f>
        <v>2023-11</v>
      </c>
      <c r="K583">
        <f>YEAR(SalesData[[#This Row],[Date]])</f>
        <v>2023</v>
      </c>
      <c r="L583" t="str">
        <f>"Q"&amp;ROUNDUP(MONTH(SalesData[[#This Row],[Date]])/3,0)</f>
        <v>Q4</v>
      </c>
      <c r="M583" s="1" t="d">
        <f>DATE(YEAR(SalesData[[#This Row],[Date]]),MONTH(SalesData[[#This Row],[Date]]),1)</f>
        <v>2023-11-01</v>
      </c>
      <c r="N58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84" spans="1:14">
      <c r="A584">
        <v>583</v>
      </c>
      <c r="B584" s="1" t="d">
        <v>2023-06-21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t="str">
        <f>TEXT(SalesData[[#This Row],[Date]],"yyyy-mm")</f>
        <v>2023-06</v>
      </c>
      <c r="K584">
        <f>YEAR(SalesData[[#This Row],[Date]])</f>
        <v>2023</v>
      </c>
      <c r="L584" t="str">
        <f>"Q"&amp;ROUNDUP(MONTH(SalesData[[#This Row],[Date]])/3,0)</f>
        <v>Q2</v>
      </c>
      <c r="M584" s="1" t="d">
        <f>DATE(YEAR(SalesData[[#This Row],[Date]]),MONTH(SalesData[[#This Row],[Date]]),1)</f>
        <v>2023-06-01</v>
      </c>
      <c r="N58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85" spans="1:14">
      <c r="A585">
        <v>584</v>
      </c>
      <c r="B585" s="1" t="d">
        <v>2023-02-17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t="str">
        <f>TEXT(SalesData[[#This Row],[Date]],"yyyy-mm")</f>
        <v>2023-02</v>
      </c>
      <c r="K585">
        <f>YEAR(SalesData[[#This Row],[Date]])</f>
        <v>2023</v>
      </c>
      <c r="L585" t="str">
        <f>"Q"&amp;ROUNDUP(MONTH(SalesData[[#This Row],[Date]])/3,0)</f>
        <v>Q1</v>
      </c>
      <c r="M585" s="1" t="d">
        <f>DATE(YEAR(SalesData[[#This Row],[Date]]),MONTH(SalesData[[#This Row],[Date]]),1)</f>
        <v>2023-02-01</v>
      </c>
      <c r="N58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86" spans="1:14">
      <c r="A586">
        <v>585</v>
      </c>
      <c r="B586" s="1" t="d">
        <v>2023-05-01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t="str">
        <f>TEXT(SalesData[[#This Row],[Date]],"yyyy-mm")</f>
        <v>2023-05</v>
      </c>
      <c r="K586">
        <f>YEAR(SalesData[[#This Row],[Date]])</f>
        <v>2023</v>
      </c>
      <c r="L586" t="str">
        <f>"Q"&amp;ROUNDUP(MONTH(SalesData[[#This Row],[Date]])/3,0)</f>
        <v>Q2</v>
      </c>
      <c r="M586" s="1" t="d">
        <f>DATE(YEAR(SalesData[[#This Row],[Date]]),MONTH(SalesData[[#This Row],[Date]]),1)</f>
        <v>2023-05-01</v>
      </c>
      <c r="N58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87" spans="1:14">
      <c r="A587">
        <v>586</v>
      </c>
      <c r="B587" s="1" t="d">
        <v>2023-12-11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t="str">
        <f>TEXT(SalesData[[#This Row],[Date]],"yyyy-mm")</f>
        <v>2023-12</v>
      </c>
      <c r="K587">
        <f>YEAR(SalesData[[#This Row],[Date]])</f>
        <v>2023</v>
      </c>
      <c r="L587" t="str">
        <f>"Q"&amp;ROUNDUP(MONTH(SalesData[[#This Row],[Date]])/3,0)</f>
        <v>Q4</v>
      </c>
      <c r="M587" s="1" t="d">
        <f>DATE(YEAR(SalesData[[#This Row],[Date]]),MONTH(SalesData[[#This Row],[Date]]),1)</f>
        <v>2023-12-01</v>
      </c>
      <c r="N58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88" spans="1:14">
      <c r="A588">
        <v>587</v>
      </c>
      <c r="B588" s="1" t="d">
        <v>2023-06-08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t="str">
        <f>TEXT(SalesData[[#This Row],[Date]],"yyyy-mm")</f>
        <v>2023-06</v>
      </c>
      <c r="K588">
        <f>YEAR(SalesData[[#This Row],[Date]])</f>
        <v>2023</v>
      </c>
      <c r="L588" t="str">
        <f>"Q"&amp;ROUNDUP(MONTH(SalesData[[#This Row],[Date]])/3,0)</f>
        <v>Q2</v>
      </c>
      <c r="M588" s="1" t="d">
        <f>DATE(YEAR(SalesData[[#This Row],[Date]]),MONTH(SalesData[[#This Row],[Date]]),1)</f>
        <v>2023-06-01</v>
      </c>
      <c r="N58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89" spans="1:14">
      <c r="A589">
        <v>588</v>
      </c>
      <c r="B589" s="1" t="d">
        <v>2023-04-26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t="str">
        <f>TEXT(SalesData[[#This Row],[Date]],"yyyy-mm")</f>
        <v>2023-04</v>
      </c>
      <c r="K589">
        <f>YEAR(SalesData[[#This Row],[Date]])</f>
        <v>2023</v>
      </c>
      <c r="L589" t="str">
        <f>"Q"&amp;ROUNDUP(MONTH(SalesData[[#This Row],[Date]])/3,0)</f>
        <v>Q2</v>
      </c>
      <c r="M589" s="1" t="d">
        <f>DATE(YEAR(SalesData[[#This Row],[Date]]),MONTH(SalesData[[#This Row],[Date]]),1)</f>
        <v>2023-04-01</v>
      </c>
      <c r="N58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90" spans="1:14">
      <c r="A590">
        <v>589</v>
      </c>
      <c r="B590" s="1" t="d">
        <v>2023-04-12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t="str">
        <f>TEXT(SalesData[[#This Row],[Date]],"yyyy-mm")</f>
        <v>2023-04</v>
      </c>
      <c r="K590">
        <f>YEAR(SalesData[[#This Row],[Date]])</f>
        <v>2023</v>
      </c>
      <c r="L590" t="str">
        <f>"Q"&amp;ROUNDUP(MONTH(SalesData[[#This Row],[Date]])/3,0)</f>
        <v>Q2</v>
      </c>
      <c r="M590" s="1" t="d">
        <f>DATE(YEAR(SalesData[[#This Row],[Date]]),MONTH(SalesData[[#This Row],[Date]]),1)</f>
        <v>2023-04-01</v>
      </c>
      <c r="N59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91" spans="1:14">
      <c r="A591">
        <v>590</v>
      </c>
      <c r="B591" s="1" t="d">
        <v>2023-03-17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t="str">
        <f>TEXT(SalesData[[#This Row],[Date]],"yyyy-mm")</f>
        <v>2023-03</v>
      </c>
      <c r="K591">
        <f>YEAR(SalesData[[#This Row],[Date]])</f>
        <v>2023</v>
      </c>
      <c r="L591" t="str">
        <f>"Q"&amp;ROUNDUP(MONTH(SalesData[[#This Row],[Date]])/3,0)</f>
        <v>Q1</v>
      </c>
      <c r="M591" s="1" t="d">
        <f>DATE(YEAR(SalesData[[#This Row],[Date]]),MONTH(SalesData[[#This Row],[Date]]),1)</f>
        <v>2023-03-01</v>
      </c>
      <c r="N59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92" spans="1:14">
      <c r="A592">
        <v>591</v>
      </c>
      <c r="B592" s="1" t="d">
        <v>2023-01-13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t="str">
        <f>TEXT(SalesData[[#This Row],[Date]],"yyyy-mm")</f>
        <v>2023-01</v>
      </c>
      <c r="K592">
        <f>YEAR(SalesData[[#This Row],[Date]])</f>
        <v>2023</v>
      </c>
      <c r="L592" t="str">
        <f>"Q"&amp;ROUNDUP(MONTH(SalesData[[#This Row],[Date]])/3,0)</f>
        <v>Q1</v>
      </c>
      <c r="M592" s="1" t="d">
        <f>DATE(YEAR(SalesData[[#This Row],[Date]]),MONTH(SalesData[[#This Row],[Date]]),1)</f>
        <v>2023-01-01</v>
      </c>
      <c r="N5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93" spans="1:14">
      <c r="A593">
        <v>592</v>
      </c>
      <c r="B593" s="1" t="d">
        <v>2023-01-24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t="str">
        <f>TEXT(SalesData[[#This Row],[Date]],"yyyy-mm")</f>
        <v>2023-01</v>
      </c>
      <c r="K593">
        <f>YEAR(SalesData[[#This Row],[Date]])</f>
        <v>2023</v>
      </c>
      <c r="L593" t="str">
        <f>"Q"&amp;ROUNDUP(MONTH(SalesData[[#This Row],[Date]])/3,0)</f>
        <v>Q1</v>
      </c>
      <c r="M593" s="1" t="d">
        <f>DATE(YEAR(SalesData[[#This Row],[Date]]),MONTH(SalesData[[#This Row],[Date]]),1)</f>
        <v>2023-01-01</v>
      </c>
      <c r="N59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594" spans="1:14">
      <c r="A594">
        <v>593</v>
      </c>
      <c r="B594" s="1" t="d">
        <v>2023-05-06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t="str">
        <f>TEXT(SalesData[[#This Row],[Date]],"yyyy-mm")</f>
        <v>2023-05</v>
      </c>
      <c r="K594">
        <f>YEAR(SalesData[[#This Row],[Date]])</f>
        <v>2023</v>
      </c>
      <c r="L594" t="str">
        <f>"Q"&amp;ROUNDUP(MONTH(SalesData[[#This Row],[Date]])/3,0)</f>
        <v>Q2</v>
      </c>
      <c r="M594" s="1" t="d">
        <f>DATE(YEAR(SalesData[[#This Row],[Date]]),MONTH(SalesData[[#This Row],[Date]]),1)</f>
        <v>2023-05-01</v>
      </c>
      <c r="N59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595" spans="1:14">
      <c r="A595">
        <v>594</v>
      </c>
      <c r="B595" s="1" t="d">
        <v>2023-09-01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t="str">
        <f>TEXT(SalesData[[#This Row],[Date]],"yyyy-mm")</f>
        <v>2023-09</v>
      </c>
      <c r="K595">
        <f>YEAR(SalesData[[#This Row],[Date]])</f>
        <v>2023</v>
      </c>
      <c r="L595" t="str">
        <f>"Q"&amp;ROUNDUP(MONTH(SalesData[[#This Row],[Date]])/3,0)</f>
        <v>Q3</v>
      </c>
      <c r="M595" s="1" t="d">
        <f>DATE(YEAR(SalesData[[#This Row],[Date]]),MONTH(SalesData[[#This Row],[Date]]),1)</f>
        <v>2023-09-01</v>
      </c>
      <c r="N59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96" spans="1:14">
      <c r="A596">
        <v>595</v>
      </c>
      <c r="B596" s="1" t="d">
        <v>2023-11-09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t="str">
        <f>TEXT(SalesData[[#This Row],[Date]],"yyyy-mm")</f>
        <v>2023-11</v>
      </c>
      <c r="K596">
        <f>YEAR(SalesData[[#This Row],[Date]])</f>
        <v>2023</v>
      </c>
      <c r="L596" t="str">
        <f>"Q"&amp;ROUNDUP(MONTH(SalesData[[#This Row],[Date]])/3,0)</f>
        <v>Q4</v>
      </c>
      <c r="M596" s="1" t="d">
        <f>DATE(YEAR(SalesData[[#This Row],[Date]]),MONTH(SalesData[[#This Row],[Date]]),1)</f>
        <v>2023-11-01</v>
      </c>
      <c r="N596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597" spans="1:14">
      <c r="A597">
        <v>596</v>
      </c>
      <c r="B597" s="1" t="d">
        <v>2023-02-07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t="str">
        <f>TEXT(SalesData[[#This Row],[Date]],"yyyy-mm")</f>
        <v>2023-02</v>
      </c>
      <c r="K597">
        <f>YEAR(SalesData[[#This Row],[Date]])</f>
        <v>2023</v>
      </c>
      <c r="L597" t="str">
        <f>"Q"&amp;ROUNDUP(MONTH(SalesData[[#This Row],[Date]])/3,0)</f>
        <v>Q1</v>
      </c>
      <c r="M597" s="1" t="d">
        <f>DATE(YEAR(SalesData[[#This Row],[Date]]),MONTH(SalesData[[#This Row],[Date]]),1)</f>
        <v>2023-02-01</v>
      </c>
      <c r="N59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598" spans="1:14">
      <c r="A598">
        <v>597</v>
      </c>
      <c r="B598" s="1" t="d">
        <v>2023-08-22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t="str">
        <f>TEXT(SalesData[[#This Row],[Date]],"yyyy-mm")</f>
        <v>2023-08</v>
      </c>
      <c r="K598">
        <f>YEAR(SalesData[[#This Row],[Date]])</f>
        <v>2023</v>
      </c>
      <c r="L598" t="str">
        <f>"Q"&amp;ROUNDUP(MONTH(SalesData[[#This Row],[Date]])/3,0)</f>
        <v>Q3</v>
      </c>
      <c r="M598" s="1" t="d">
        <f>DATE(YEAR(SalesData[[#This Row],[Date]]),MONTH(SalesData[[#This Row],[Date]]),1)</f>
        <v>2023-08-01</v>
      </c>
      <c r="N59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599" spans="1:14">
      <c r="A599">
        <v>598</v>
      </c>
      <c r="B599" s="1" t="d">
        <v>2023-08-01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t="str">
        <f>TEXT(SalesData[[#This Row],[Date]],"yyyy-mm")</f>
        <v>2023-08</v>
      </c>
      <c r="K599">
        <f>YEAR(SalesData[[#This Row],[Date]])</f>
        <v>2023</v>
      </c>
      <c r="L599" t="str">
        <f>"Q"&amp;ROUNDUP(MONTH(SalesData[[#This Row],[Date]])/3,0)</f>
        <v>Q3</v>
      </c>
      <c r="M599" s="1" t="d">
        <f>DATE(YEAR(SalesData[[#This Row],[Date]]),MONTH(SalesData[[#This Row],[Date]]),1)</f>
        <v>2023-08-01</v>
      </c>
      <c r="N59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00" spans="1:14">
      <c r="A600">
        <v>599</v>
      </c>
      <c r="B600" s="1" t="d">
        <v>2023-11-19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t="str">
        <f>TEXT(SalesData[[#This Row],[Date]],"yyyy-mm")</f>
        <v>2023-11</v>
      </c>
      <c r="K600">
        <f>YEAR(SalesData[[#This Row],[Date]])</f>
        <v>2023</v>
      </c>
      <c r="L600" t="str">
        <f>"Q"&amp;ROUNDUP(MONTH(SalesData[[#This Row],[Date]])/3,0)</f>
        <v>Q4</v>
      </c>
      <c r="M600" s="1" t="d">
        <f>DATE(YEAR(SalesData[[#This Row],[Date]]),MONTH(SalesData[[#This Row],[Date]]),1)</f>
        <v>2023-11-01</v>
      </c>
      <c r="N60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01" spans="1:14">
      <c r="A601">
        <v>600</v>
      </c>
      <c r="B601" s="1" t="d">
        <v>2023-10-22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t="str">
        <f>TEXT(SalesData[[#This Row],[Date]],"yyyy-mm")</f>
        <v>2023-10</v>
      </c>
      <c r="K601">
        <f>YEAR(SalesData[[#This Row],[Date]])</f>
        <v>2023</v>
      </c>
      <c r="L601" t="str">
        <f>"Q"&amp;ROUNDUP(MONTH(SalesData[[#This Row],[Date]])/3,0)</f>
        <v>Q4</v>
      </c>
      <c r="M601" s="1" t="d">
        <f>DATE(YEAR(SalesData[[#This Row],[Date]]),MONTH(SalesData[[#This Row],[Date]]),1)</f>
        <v>2023-10-01</v>
      </c>
      <c r="N60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02" spans="1:14">
      <c r="A602">
        <v>601</v>
      </c>
      <c r="B602" s="1" t="d">
        <v>2023-04-10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t="str">
        <f>TEXT(SalesData[[#This Row],[Date]],"yyyy-mm")</f>
        <v>2023-04</v>
      </c>
      <c r="K602">
        <f>YEAR(SalesData[[#This Row],[Date]])</f>
        <v>2023</v>
      </c>
      <c r="L602" t="str">
        <f>"Q"&amp;ROUNDUP(MONTH(SalesData[[#This Row],[Date]])/3,0)</f>
        <v>Q2</v>
      </c>
      <c r="M602" s="1" t="d">
        <f>DATE(YEAR(SalesData[[#This Row],[Date]]),MONTH(SalesData[[#This Row],[Date]]),1)</f>
        <v>2023-04-01</v>
      </c>
      <c r="N602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03" spans="1:14">
      <c r="A603">
        <v>602</v>
      </c>
      <c r="B603" s="1" t="d">
        <v>2023-12-23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t="str">
        <f>TEXT(SalesData[[#This Row],[Date]],"yyyy-mm")</f>
        <v>2023-12</v>
      </c>
      <c r="K603">
        <f>YEAR(SalesData[[#This Row],[Date]])</f>
        <v>2023</v>
      </c>
      <c r="L603" t="str">
        <f>"Q"&amp;ROUNDUP(MONTH(SalesData[[#This Row],[Date]])/3,0)</f>
        <v>Q4</v>
      </c>
      <c r="M603" s="1" t="d">
        <f>DATE(YEAR(SalesData[[#This Row],[Date]]),MONTH(SalesData[[#This Row],[Date]]),1)</f>
        <v>2023-12-01</v>
      </c>
      <c r="N60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04" spans="1:14">
      <c r="A604">
        <v>603</v>
      </c>
      <c r="B604" s="1" t="d">
        <v>2023-07-16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t="str">
        <f>TEXT(SalesData[[#This Row],[Date]],"yyyy-mm")</f>
        <v>2023-07</v>
      </c>
      <c r="K604">
        <f>YEAR(SalesData[[#This Row],[Date]])</f>
        <v>2023</v>
      </c>
      <c r="L604" t="str">
        <f>"Q"&amp;ROUNDUP(MONTH(SalesData[[#This Row],[Date]])/3,0)</f>
        <v>Q3</v>
      </c>
      <c r="M604" s="1" t="d">
        <f>DATE(YEAR(SalesData[[#This Row],[Date]]),MONTH(SalesData[[#This Row],[Date]]),1)</f>
        <v>2023-07-01</v>
      </c>
      <c r="N60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05" spans="1:14">
      <c r="A605">
        <v>604</v>
      </c>
      <c r="B605" s="1" t="d">
        <v>2023-09-11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t="str">
        <f>TEXT(SalesData[[#This Row],[Date]],"yyyy-mm")</f>
        <v>2023-09</v>
      </c>
      <c r="K605">
        <f>YEAR(SalesData[[#This Row],[Date]])</f>
        <v>2023</v>
      </c>
      <c r="L605" t="str">
        <f>"Q"&amp;ROUNDUP(MONTH(SalesData[[#This Row],[Date]])/3,0)</f>
        <v>Q3</v>
      </c>
      <c r="M605" s="1" t="d">
        <f>DATE(YEAR(SalesData[[#This Row],[Date]]),MONTH(SalesData[[#This Row],[Date]]),1)</f>
        <v>2023-09-01</v>
      </c>
      <c r="N60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06" spans="1:14">
      <c r="A606">
        <v>605</v>
      </c>
      <c r="B606" s="1" t="d">
        <v>2023-07-24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t="str">
        <f>TEXT(SalesData[[#This Row],[Date]],"yyyy-mm")</f>
        <v>2023-07</v>
      </c>
      <c r="K606">
        <f>YEAR(SalesData[[#This Row],[Date]])</f>
        <v>2023</v>
      </c>
      <c r="L606" t="str">
        <f>"Q"&amp;ROUNDUP(MONTH(SalesData[[#This Row],[Date]])/3,0)</f>
        <v>Q3</v>
      </c>
      <c r="M606" s="1" t="d">
        <f>DATE(YEAR(SalesData[[#This Row],[Date]]),MONTH(SalesData[[#This Row],[Date]]),1)</f>
        <v>2023-07-01</v>
      </c>
      <c r="N60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07" spans="1:14">
      <c r="A607">
        <v>606</v>
      </c>
      <c r="B607" s="1" t="d">
        <v>2023-05-05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t="str">
        <f>TEXT(SalesData[[#This Row],[Date]],"yyyy-mm")</f>
        <v>2023-05</v>
      </c>
      <c r="K607">
        <f>YEAR(SalesData[[#This Row],[Date]])</f>
        <v>2023</v>
      </c>
      <c r="L607" t="str">
        <f>"Q"&amp;ROUNDUP(MONTH(SalesData[[#This Row],[Date]])/3,0)</f>
        <v>Q2</v>
      </c>
      <c r="M607" s="1" t="d">
        <f>DATE(YEAR(SalesData[[#This Row],[Date]]),MONTH(SalesData[[#This Row],[Date]]),1)</f>
        <v>2023-05-01</v>
      </c>
      <c r="N60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08" spans="1:14">
      <c r="A608">
        <v>607</v>
      </c>
      <c r="B608" s="1" t="d">
        <v>2023-03-17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t="str">
        <f>TEXT(SalesData[[#This Row],[Date]],"yyyy-mm")</f>
        <v>2023-03</v>
      </c>
      <c r="K608">
        <f>YEAR(SalesData[[#This Row],[Date]])</f>
        <v>2023</v>
      </c>
      <c r="L608" t="str">
        <f>"Q"&amp;ROUNDUP(MONTH(SalesData[[#This Row],[Date]])/3,0)</f>
        <v>Q1</v>
      </c>
      <c r="M608" s="1" t="d">
        <f>DATE(YEAR(SalesData[[#This Row],[Date]]),MONTH(SalesData[[#This Row],[Date]]),1)</f>
        <v>2023-03-01</v>
      </c>
      <c r="N60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09" spans="1:14">
      <c r="A609">
        <v>608</v>
      </c>
      <c r="B609" s="1" t="d">
        <v>2023-12-02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t="str">
        <f>TEXT(SalesData[[#This Row],[Date]],"yyyy-mm")</f>
        <v>2023-12</v>
      </c>
      <c r="K609">
        <f>YEAR(SalesData[[#This Row],[Date]])</f>
        <v>2023</v>
      </c>
      <c r="L609" t="str">
        <f>"Q"&amp;ROUNDUP(MONTH(SalesData[[#This Row],[Date]])/3,0)</f>
        <v>Q4</v>
      </c>
      <c r="M609" s="1" t="d">
        <f>DATE(YEAR(SalesData[[#This Row],[Date]]),MONTH(SalesData[[#This Row],[Date]]),1)</f>
        <v>2023-12-01</v>
      </c>
      <c r="N60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0" spans="1:14">
      <c r="A610">
        <v>609</v>
      </c>
      <c r="B610" s="1" t="d">
        <v>2023-12-19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t="str">
        <f>TEXT(SalesData[[#This Row],[Date]],"yyyy-mm")</f>
        <v>2023-12</v>
      </c>
      <c r="K610">
        <f>YEAR(SalesData[[#This Row],[Date]])</f>
        <v>2023</v>
      </c>
      <c r="L610" t="str">
        <f>"Q"&amp;ROUNDUP(MONTH(SalesData[[#This Row],[Date]])/3,0)</f>
        <v>Q4</v>
      </c>
      <c r="M610" s="1" t="d">
        <f>DATE(YEAR(SalesData[[#This Row],[Date]]),MONTH(SalesData[[#This Row],[Date]]),1)</f>
        <v>2023-12-01</v>
      </c>
      <c r="N61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11" spans="1:14">
      <c r="A611">
        <v>610</v>
      </c>
      <c r="B611" s="1" t="d">
        <v>2023-01-03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t="str">
        <f>TEXT(SalesData[[#This Row],[Date]],"yyyy-mm")</f>
        <v>2023-01</v>
      </c>
      <c r="K611">
        <f>YEAR(SalesData[[#This Row],[Date]])</f>
        <v>2023</v>
      </c>
      <c r="L611" t="str">
        <f>"Q"&amp;ROUNDUP(MONTH(SalesData[[#This Row],[Date]])/3,0)</f>
        <v>Q1</v>
      </c>
      <c r="M611" s="1" t="d">
        <f>DATE(YEAR(SalesData[[#This Row],[Date]]),MONTH(SalesData[[#This Row],[Date]]),1)</f>
        <v>2023-01-01</v>
      </c>
      <c r="N6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12" spans="1:14">
      <c r="A612">
        <v>611</v>
      </c>
      <c r="B612" s="1" t="d">
        <v>2023-02-24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t="str">
        <f>TEXT(SalesData[[#This Row],[Date]],"yyyy-mm")</f>
        <v>2023-02</v>
      </c>
      <c r="K612">
        <f>YEAR(SalesData[[#This Row],[Date]])</f>
        <v>2023</v>
      </c>
      <c r="L612" t="str">
        <f>"Q"&amp;ROUNDUP(MONTH(SalesData[[#This Row],[Date]])/3,0)</f>
        <v>Q1</v>
      </c>
      <c r="M612" s="1" t="d">
        <f>DATE(YEAR(SalesData[[#This Row],[Date]]),MONTH(SalesData[[#This Row],[Date]]),1)</f>
        <v>2023-02-01</v>
      </c>
      <c r="N61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3" spans="1:14">
      <c r="A613">
        <v>612</v>
      </c>
      <c r="B613" s="1" t="d">
        <v>2023-08-06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t="str">
        <f>TEXT(SalesData[[#This Row],[Date]],"yyyy-mm")</f>
        <v>2023-08</v>
      </c>
      <c r="K613">
        <f>YEAR(SalesData[[#This Row],[Date]])</f>
        <v>2023</v>
      </c>
      <c r="L613" t="str">
        <f>"Q"&amp;ROUNDUP(MONTH(SalesData[[#This Row],[Date]])/3,0)</f>
        <v>Q3</v>
      </c>
      <c r="M613" s="1" t="d">
        <f>DATE(YEAR(SalesData[[#This Row],[Date]]),MONTH(SalesData[[#This Row],[Date]]),1)</f>
        <v>2023-08-01</v>
      </c>
      <c r="N61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4" spans="1:14">
      <c r="A614">
        <v>613</v>
      </c>
      <c r="B614" s="1" t="d">
        <v>2023-04-23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t="str">
        <f>TEXT(SalesData[[#This Row],[Date]],"yyyy-mm")</f>
        <v>2023-04</v>
      </c>
      <c r="K614">
        <f>YEAR(SalesData[[#This Row],[Date]])</f>
        <v>2023</v>
      </c>
      <c r="L614" t="str">
        <f>"Q"&amp;ROUNDUP(MONTH(SalesData[[#This Row],[Date]])/3,0)</f>
        <v>Q2</v>
      </c>
      <c r="M614" s="1" t="d">
        <f>DATE(YEAR(SalesData[[#This Row],[Date]]),MONTH(SalesData[[#This Row],[Date]]),1)</f>
        <v>2023-04-01</v>
      </c>
      <c r="N61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5" spans="1:14">
      <c r="A615">
        <v>614</v>
      </c>
      <c r="B615" s="1" t="d">
        <v>2023-04-01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t="str">
        <f>TEXT(SalesData[[#This Row],[Date]],"yyyy-mm")</f>
        <v>2023-04</v>
      </c>
      <c r="K615">
        <f>YEAR(SalesData[[#This Row],[Date]])</f>
        <v>2023</v>
      </c>
      <c r="L615" t="str">
        <f>"Q"&amp;ROUNDUP(MONTH(SalesData[[#This Row],[Date]])/3,0)</f>
        <v>Q2</v>
      </c>
      <c r="M615" s="1" t="d">
        <f>DATE(YEAR(SalesData[[#This Row],[Date]]),MONTH(SalesData[[#This Row],[Date]]),1)</f>
        <v>2023-04-01</v>
      </c>
      <c r="N61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16" spans="1:14">
      <c r="A616">
        <v>615</v>
      </c>
      <c r="B616" s="1" t="d">
        <v>2023-12-23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t="str">
        <f>TEXT(SalesData[[#This Row],[Date]],"yyyy-mm")</f>
        <v>2023-12</v>
      </c>
      <c r="K616">
        <f>YEAR(SalesData[[#This Row],[Date]])</f>
        <v>2023</v>
      </c>
      <c r="L616" t="str">
        <f>"Q"&amp;ROUNDUP(MONTH(SalesData[[#This Row],[Date]])/3,0)</f>
        <v>Q4</v>
      </c>
      <c r="M616" s="1" t="d">
        <f>DATE(YEAR(SalesData[[#This Row],[Date]]),MONTH(SalesData[[#This Row],[Date]]),1)</f>
        <v>2023-12-01</v>
      </c>
      <c r="N61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17" spans="1:14">
      <c r="A617">
        <v>616</v>
      </c>
      <c r="B617" s="1" t="d">
        <v>2023-09-23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t="str">
        <f>TEXT(SalesData[[#This Row],[Date]],"yyyy-mm")</f>
        <v>2023-09</v>
      </c>
      <c r="K617">
        <f>YEAR(SalesData[[#This Row],[Date]])</f>
        <v>2023</v>
      </c>
      <c r="L617" t="str">
        <f>"Q"&amp;ROUNDUP(MONTH(SalesData[[#This Row],[Date]])/3,0)</f>
        <v>Q3</v>
      </c>
      <c r="M617" s="1" t="d">
        <f>DATE(YEAR(SalesData[[#This Row],[Date]]),MONTH(SalesData[[#This Row],[Date]]),1)</f>
        <v>2023-09-01</v>
      </c>
      <c r="N61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18" spans="1:14">
      <c r="A618">
        <v>617</v>
      </c>
      <c r="B618" s="1" t="d">
        <v>2023-08-26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t="str">
        <f>TEXT(SalesData[[#This Row],[Date]],"yyyy-mm")</f>
        <v>2023-08</v>
      </c>
      <c r="K618">
        <f>YEAR(SalesData[[#This Row],[Date]])</f>
        <v>2023</v>
      </c>
      <c r="L618" t="str">
        <f>"Q"&amp;ROUNDUP(MONTH(SalesData[[#This Row],[Date]])/3,0)</f>
        <v>Q3</v>
      </c>
      <c r="M618" s="1" t="d">
        <f>DATE(YEAR(SalesData[[#This Row],[Date]]),MONTH(SalesData[[#This Row],[Date]]),1)</f>
        <v>2023-08-01</v>
      </c>
      <c r="N61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19" spans="1:14">
      <c r="A619">
        <v>618</v>
      </c>
      <c r="B619" s="1" t="d">
        <v>2023-01-26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t="str">
        <f>TEXT(SalesData[[#This Row],[Date]],"yyyy-mm")</f>
        <v>2023-01</v>
      </c>
      <c r="K619">
        <f>YEAR(SalesData[[#This Row],[Date]])</f>
        <v>2023</v>
      </c>
      <c r="L619" t="str">
        <f>"Q"&amp;ROUNDUP(MONTH(SalesData[[#This Row],[Date]])/3,0)</f>
        <v>Q1</v>
      </c>
      <c r="M619" s="1" t="d">
        <f>DATE(YEAR(SalesData[[#This Row],[Date]]),MONTH(SalesData[[#This Row],[Date]]),1)</f>
        <v>2023-01-01</v>
      </c>
      <c r="N61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20" spans="1:14">
      <c r="A620">
        <v>619</v>
      </c>
      <c r="B620" s="1" t="d">
        <v>2023-10-13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t="str">
        <f>TEXT(SalesData[[#This Row],[Date]],"yyyy-mm")</f>
        <v>2023-10</v>
      </c>
      <c r="K620">
        <f>YEAR(SalesData[[#This Row],[Date]])</f>
        <v>2023</v>
      </c>
      <c r="L620" t="str">
        <f>"Q"&amp;ROUNDUP(MONTH(SalesData[[#This Row],[Date]])/3,0)</f>
        <v>Q4</v>
      </c>
      <c r="M620" s="1" t="d">
        <f>DATE(YEAR(SalesData[[#This Row],[Date]]),MONTH(SalesData[[#This Row],[Date]]),1)</f>
        <v>2023-10-01</v>
      </c>
      <c r="N62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21" spans="1:14">
      <c r="A621">
        <v>620</v>
      </c>
      <c r="B621" s="1" t="d">
        <v>2023-05-08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t="str">
        <f>TEXT(SalesData[[#This Row],[Date]],"yyyy-mm")</f>
        <v>2023-05</v>
      </c>
      <c r="K621">
        <f>YEAR(SalesData[[#This Row],[Date]])</f>
        <v>2023</v>
      </c>
      <c r="L621" t="str">
        <f>"Q"&amp;ROUNDUP(MONTH(SalesData[[#This Row],[Date]])/3,0)</f>
        <v>Q2</v>
      </c>
      <c r="M621" s="1" t="d">
        <f>DATE(YEAR(SalesData[[#This Row],[Date]]),MONTH(SalesData[[#This Row],[Date]]),1)</f>
        <v>2023-05-01</v>
      </c>
      <c r="N62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22" spans="1:14">
      <c r="A622">
        <v>621</v>
      </c>
      <c r="B622" s="1" t="d">
        <v>2023-03-04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t="str">
        <f>TEXT(SalesData[[#This Row],[Date]],"yyyy-mm")</f>
        <v>2023-03</v>
      </c>
      <c r="K622">
        <f>YEAR(SalesData[[#This Row],[Date]])</f>
        <v>2023</v>
      </c>
      <c r="L622" t="str">
        <f>"Q"&amp;ROUNDUP(MONTH(SalesData[[#This Row],[Date]])/3,0)</f>
        <v>Q1</v>
      </c>
      <c r="M622" s="1" t="d">
        <f>DATE(YEAR(SalesData[[#This Row],[Date]]),MONTH(SalesData[[#This Row],[Date]]),1)</f>
        <v>2023-03-01</v>
      </c>
      <c r="N62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23" spans="1:14">
      <c r="A623">
        <v>622</v>
      </c>
      <c r="B623" s="1" t="d">
        <v>2023-08-22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t="str">
        <f>TEXT(SalesData[[#This Row],[Date]],"yyyy-mm")</f>
        <v>2023-08</v>
      </c>
      <c r="K623">
        <f>YEAR(SalesData[[#This Row],[Date]])</f>
        <v>2023</v>
      </c>
      <c r="L623" t="str">
        <f>"Q"&amp;ROUNDUP(MONTH(SalesData[[#This Row],[Date]])/3,0)</f>
        <v>Q3</v>
      </c>
      <c r="M623" s="1" t="d">
        <f>DATE(YEAR(SalesData[[#This Row],[Date]]),MONTH(SalesData[[#This Row],[Date]]),1)</f>
        <v>2023-08-01</v>
      </c>
      <c r="N62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24" spans="1:14">
      <c r="A624">
        <v>623</v>
      </c>
      <c r="B624" s="1" t="d">
        <v>2023-03-10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t="str">
        <f>TEXT(SalesData[[#This Row],[Date]],"yyyy-mm")</f>
        <v>2023-03</v>
      </c>
      <c r="K624">
        <f>YEAR(SalesData[[#This Row],[Date]])</f>
        <v>2023</v>
      </c>
      <c r="L624" t="str">
        <f>"Q"&amp;ROUNDUP(MONTH(SalesData[[#This Row],[Date]])/3,0)</f>
        <v>Q1</v>
      </c>
      <c r="M624" s="1" t="d">
        <f>DATE(YEAR(SalesData[[#This Row],[Date]]),MONTH(SalesData[[#This Row],[Date]]),1)</f>
        <v>2023-03-01</v>
      </c>
      <c r="N62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25" spans="1:14">
      <c r="A625">
        <v>624</v>
      </c>
      <c r="B625" s="1" t="d">
        <v>2023-08-26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t="str">
        <f>TEXT(SalesData[[#This Row],[Date]],"yyyy-mm")</f>
        <v>2023-08</v>
      </c>
      <c r="K625">
        <f>YEAR(SalesData[[#This Row],[Date]])</f>
        <v>2023</v>
      </c>
      <c r="L625" t="str">
        <f>"Q"&amp;ROUNDUP(MONTH(SalesData[[#This Row],[Date]])/3,0)</f>
        <v>Q3</v>
      </c>
      <c r="M625" s="1" t="d">
        <f>DATE(YEAR(SalesData[[#This Row],[Date]]),MONTH(SalesData[[#This Row],[Date]]),1)</f>
        <v>2023-08-01</v>
      </c>
      <c r="N62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26" spans="1:14">
      <c r="A626">
        <v>625</v>
      </c>
      <c r="B626" s="1" t="d">
        <v>2023-12-08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t="str">
        <f>TEXT(SalesData[[#This Row],[Date]],"yyyy-mm")</f>
        <v>2023-12</v>
      </c>
      <c r="K626">
        <f>YEAR(SalesData[[#This Row],[Date]])</f>
        <v>2023</v>
      </c>
      <c r="L626" t="str">
        <f>"Q"&amp;ROUNDUP(MONTH(SalesData[[#This Row],[Date]])/3,0)</f>
        <v>Q4</v>
      </c>
      <c r="M626" s="1" t="d">
        <f>DATE(YEAR(SalesData[[#This Row],[Date]]),MONTH(SalesData[[#This Row],[Date]]),1)</f>
        <v>2023-12-01</v>
      </c>
      <c r="N62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27" spans="1:14">
      <c r="A627">
        <v>626</v>
      </c>
      <c r="B627" s="1" t="d">
        <v>2023-09-29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t="str">
        <f>TEXT(SalesData[[#This Row],[Date]],"yyyy-mm")</f>
        <v>2023-09</v>
      </c>
      <c r="K627">
        <f>YEAR(SalesData[[#This Row],[Date]])</f>
        <v>2023</v>
      </c>
      <c r="L627" t="str">
        <f>"Q"&amp;ROUNDUP(MONTH(SalesData[[#This Row],[Date]])/3,0)</f>
        <v>Q3</v>
      </c>
      <c r="M627" s="1" t="d">
        <f>DATE(YEAR(SalesData[[#This Row],[Date]]),MONTH(SalesData[[#This Row],[Date]]),1)</f>
        <v>2023-09-01</v>
      </c>
      <c r="N62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28" spans="1:14">
      <c r="A628">
        <v>627</v>
      </c>
      <c r="B628" s="1" t="d">
        <v>2023-10-14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t="str">
        <f>TEXT(SalesData[[#This Row],[Date]],"yyyy-mm")</f>
        <v>2023-10</v>
      </c>
      <c r="K628">
        <f>YEAR(SalesData[[#This Row],[Date]])</f>
        <v>2023</v>
      </c>
      <c r="L628" t="str">
        <f>"Q"&amp;ROUNDUP(MONTH(SalesData[[#This Row],[Date]])/3,0)</f>
        <v>Q4</v>
      </c>
      <c r="M628" s="1" t="d">
        <f>DATE(YEAR(SalesData[[#This Row],[Date]]),MONTH(SalesData[[#This Row],[Date]]),1)</f>
        <v>2023-10-01</v>
      </c>
      <c r="N62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29" spans="1:14">
      <c r="A629">
        <v>628</v>
      </c>
      <c r="B629" s="1" t="d">
        <v>2023-11-01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t="str">
        <f>TEXT(SalesData[[#This Row],[Date]],"yyyy-mm")</f>
        <v>2023-11</v>
      </c>
      <c r="K629">
        <f>YEAR(SalesData[[#This Row],[Date]])</f>
        <v>2023</v>
      </c>
      <c r="L629" t="str">
        <f>"Q"&amp;ROUNDUP(MONTH(SalesData[[#This Row],[Date]])/3,0)</f>
        <v>Q4</v>
      </c>
      <c r="M629" s="1" t="d">
        <f>DATE(YEAR(SalesData[[#This Row],[Date]]),MONTH(SalesData[[#This Row],[Date]]),1)</f>
        <v>2023-11-01</v>
      </c>
      <c r="N629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30" spans="1:14">
      <c r="A630">
        <v>629</v>
      </c>
      <c r="B630" s="1" t="d">
        <v>2023-06-12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t="str">
        <f>TEXT(SalesData[[#This Row],[Date]],"yyyy-mm")</f>
        <v>2023-06</v>
      </c>
      <c r="K630">
        <f>YEAR(SalesData[[#This Row],[Date]])</f>
        <v>2023</v>
      </c>
      <c r="L630" t="str">
        <f>"Q"&amp;ROUNDUP(MONTH(SalesData[[#This Row],[Date]])/3,0)</f>
        <v>Q2</v>
      </c>
      <c r="M630" s="1" t="d">
        <f>DATE(YEAR(SalesData[[#This Row],[Date]]),MONTH(SalesData[[#This Row],[Date]]),1)</f>
        <v>2023-06-01</v>
      </c>
      <c r="N63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31" spans="1:14">
      <c r="A631">
        <v>630</v>
      </c>
      <c r="B631" s="1" t="d">
        <v>2023-08-15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t="str">
        <f>TEXT(SalesData[[#This Row],[Date]],"yyyy-mm")</f>
        <v>2023-08</v>
      </c>
      <c r="K631">
        <f>YEAR(SalesData[[#This Row],[Date]])</f>
        <v>2023</v>
      </c>
      <c r="L631" t="str">
        <f>"Q"&amp;ROUNDUP(MONTH(SalesData[[#This Row],[Date]])/3,0)</f>
        <v>Q3</v>
      </c>
      <c r="M631" s="1" t="d">
        <f>DATE(YEAR(SalesData[[#This Row],[Date]]),MONTH(SalesData[[#This Row],[Date]]),1)</f>
        <v>2023-08-01</v>
      </c>
      <c r="N63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32" spans="1:14">
      <c r="A632">
        <v>631</v>
      </c>
      <c r="B632" s="1" t="d">
        <v>2023-11-10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t="str">
        <f>TEXT(SalesData[[#This Row],[Date]],"yyyy-mm")</f>
        <v>2023-11</v>
      </c>
      <c r="K632">
        <f>YEAR(SalesData[[#This Row],[Date]])</f>
        <v>2023</v>
      </c>
      <c r="L632" t="str">
        <f>"Q"&amp;ROUNDUP(MONTH(SalesData[[#This Row],[Date]])/3,0)</f>
        <v>Q4</v>
      </c>
      <c r="M632" s="1" t="d">
        <f>DATE(YEAR(SalesData[[#This Row],[Date]]),MONTH(SalesData[[#This Row],[Date]]),1)</f>
        <v>2023-11-01</v>
      </c>
      <c r="N63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33" spans="1:14">
      <c r="A633">
        <v>632</v>
      </c>
      <c r="B633" s="1" t="d">
        <v>2023-09-16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t="str">
        <f>TEXT(SalesData[[#This Row],[Date]],"yyyy-mm")</f>
        <v>2023-09</v>
      </c>
      <c r="K633">
        <f>YEAR(SalesData[[#This Row],[Date]])</f>
        <v>2023</v>
      </c>
      <c r="L633" t="str">
        <f>"Q"&amp;ROUNDUP(MONTH(SalesData[[#This Row],[Date]])/3,0)</f>
        <v>Q3</v>
      </c>
      <c r="M633" s="1" t="d">
        <f>DATE(YEAR(SalesData[[#This Row],[Date]]),MONTH(SalesData[[#This Row],[Date]]),1)</f>
        <v>2023-09-01</v>
      </c>
      <c r="N63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34" spans="1:14">
      <c r="A634">
        <v>633</v>
      </c>
      <c r="B634" s="1" t="d">
        <v>2023-08-07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t="str">
        <f>TEXT(SalesData[[#This Row],[Date]],"yyyy-mm")</f>
        <v>2023-08</v>
      </c>
      <c r="K634">
        <f>YEAR(SalesData[[#This Row],[Date]])</f>
        <v>2023</v>
      </c>
      <c r="L634" t="str">
        <f>"Q"&amp;ROUNDUP(MONTH(SalesData[[#This Row],[Date]])/3,0)</f>
        <v>Q3</v>
      </c>
      <c r="M634" s="1" t="d">
        <f>DATE(YEAR(SalesData[[#This Row],[Date]]),MONTH(SalesData[[#This Row],[Date]]),1)</f>
        <v>2023-08-01</v>
      </c>
      <c r="N63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35" spans="1:14">
      <c r="A635">
        <v>634</v>
      </c>
      <c r="B635" s="1" t="d">
        <v>2023-10-08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t="str">
        <f>TEXT(SalesData[[#This Row],[Date]],"yyyy-mm")</f>
        <v>2023-10</v>
      </c>
      <c r="K635">
        <f>YEAR(SalesData[[#This Row],[Date]])</f>
        <v>2023</v>
      </c>
      <c r="L635" t="str">
        <f>"Q"&amp;ROUNDUP(MONTH(SalesData[[#This Row],[Date]])/3,0)</f>
        <v>Q4</v>
      </c>
      <c r="M635" s="1" t="d">
        <f>DATE(YEAR(SalesData[[#This Row],[Date]]),MONTH(SalesData[[#This Row],[Date]]),1)</f>
        <v>2023-10-01</v>
      </c>
      <c r="N63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36" spans="1:14">
      <c r="A636">
        <v>635</v>
      </c>
      <c r="B636" s="1" t="d">
        <v>2023-08-17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t="str">
        <f>TEXT(SalesData[[#This Row],[Date]],"yyyy-mm")</f>
        <v>2023-08</v>
      </c>
      <c r="K636">
        <f>YEAR(SalesData[[#This Row],[Date]])</f>
        <v>2023</v>
      </c>
      <c r="L636" t="str">
        <f>"Q"&amp;ROUNDUP(MONTH(SalesData[[#This Row],[Date]])/3,0)</f>
        <v>Q3</v>
      </c>
      <c r="M636" s="1" t="d">
        <f>DATE(YEAR(SalesData[[#This Row],[Date]]),MONTH(SalesData[[#This Row],[Date]]),1)</f>
        <v>2023-08-01</v>
      </c>
      <c r="N63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37" spans="1:14">
      <c r="A637">
        <v>636</v>
      </c>
      <c r="B637" s="1" t="d">
        <v>2023-03-23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t="str">
        <f>TEXT(SalesData[[#This Row],[Date]],"yyyy-mm")</f>
        <v>2023-03</v>
      </c>
      <c r="K637">
        <f>YEAR(SalesData[[#This Row],[Date]])</f>
        <v>2023</v>
      </c>
      <c r="L637" t="str">
        <f>"Q"&amp;ROUNDUP(MONTH(SalesData[[#This Row],[Date]])/3,0)</f>
        <v>Q1</v>
      </c>
      <c r="M637" s="1" t="d">
        <f>DATE(YEAR(SalesData[[#This Row],[Date]]),MONTH(SalesData[[#This Row],[Date]]),1)</f>
        <v>2023-03-01</v>
      </c>
      <c r="N63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38" spans="1:14">
      <c r="A638">
        <v>637</v>
      </c>
      <c r="B638" s="1" t="d">
        <v>2023-09-01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t="str">
        <f>TEXT(SalesData[[#This Row],[Date]],"yyyy-mm")</f>
        <v>2023-09</v>
      </c>
      <c r="K638">
        <f>YEAR(SalesData[[#This Row],[Date]])</f>
        <v>2023</v>
      </c>
      <c r="L638" t="str">
        <f>"Q"&amp;ROUNDUP(MONTH(SalesData[[#This Row],[Date]])/3,0)</f>
        <v>Q3</v>
      </c>
      <c r="M638" s="1" t="d">
        <f>DATE(YEAR(SalesData[[#This Row],[Date]]),MONTH(SalesData[[#This Row],[Date]]),1)</f>
        <v>2023-09-01</v>
      </c>
      <c r="N63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39" spans="1:14">
      <c r="A639">
        <v>638</v>
      </c>
      <c r="B639" s="1" t="d">
        <v>2023-08-19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t="str">
        <f>TEXT(SalesData[[#This Row],[Date]],"yyyy-mm")</f>
        <v>2023-08</v>
      </c>
      <c r="K639">
        <f>YEAR(SalesData[[#This Row],[Date]])</f>
        <v>2023</v>
      </c>
      <c r="L639" t="str">
        <f>"Q"&amp;ROUNDUP(MONTH(SalesData[[#This Row],[Date]])/3,0)</f>
        <v>Q3</v>
      </c>
      <c r="M639" s="1" t="d">
        <f>DATE(YEAR(SalesData[[#This Row],[Date]]),MONTH(SalesData[[#This Row],[Date]]),1)</f>
        <v>2023-08-01</v>
      </c>
      <c r="N6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40" spans="1:14">
      <c r="A640">
        <v>639</v>
      </c>
      <c r="B640" s="1" t="d">
        <v>2023-05-13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t="str">
        <f>TEXT(SalesData[[#This Row],[Date]],"yyyy-mm")</f>
        <v>2023-05</v>
      </c>
      <c r="K640">
        <f>YEAR(SalesData[[#This Row],[Date]])</f>
        <v>2023</v>
      </c>
      <c r="L640" t="str">
        <f>"Q"&amp;ROUNDUP(MONTH(SalesData[[#This Row],[Date]])/3,0)</f>
        <v>Q2</v>
      </c>
      <c r="M640" s="1" t="d">
        <f>DATE(YEAR(SalesData[[#This Row],[Date]]),MONTH(SalesData[[#This Row],[Date]]),1)</f>
        <v>2023-05-01</v>
      </c>
      <c r="N64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41" spans="1:14">
      <c r="A641">
        <v>640</v>
      </c>
      <c r="B641" s="1" t="d">
        <v>2023-05-07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t="str">
        <f>TEXT(SalesData[[#This Row],[Date]],"yyyy-mm")</f>
        <v>2023-05</v>
      </c>
      <c r="K641">
        <f>YEAR(SalesData[[#This Row],[Date]])</f>
        <v>2023</v>
      </c>
      <c r="L641" t="str">
        <f>"Q"&amp;ROUNDUP(MONTH(SalesData[[#This Row],[Date]])/3,0)</f>
        <v>Q2</v>
      </c>
      <c r="M641" s="1" t="d">
        <f>DATE(YEAR(SalesData[[#This Row],[Date]]),MONTH(SalesData[[#This Row],[Date]]),1)</f>
        <v>2023-05-01</v>
      </c>
      <c r="N64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42" spans="1:14">
      <c r="A642">
        <v>641</v>
      </c>
      <c r="B642" s="1" t="d">
        <v>2023-11-23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t="str">
        <f>TEXT(SalesData[[#This Row],[Date]],"yyyy-mm")</f>
        <v>2023-11</v>
      </c>
      <c r="K642">
        <f>YEAR(SalesData[[#This Row],[Date]])</f>
        <v>2023</v>
      </c>
      <c r="L642" t="str">
        <f>"Q"&amp;ROUNDUP(MONTH(SalesData[[#This Row],[Date]])/3,0)</f>
        <v>Q4</v>
      </c>
      <c r="M642" s="1" t="d">
        <f>DATE(YEAR(SalesData[[#This Row],[Date]]),MONTH(SalesData[[#This Row],[Date]]),1)</f>
        <v>2023-11-01</v>
      </c>
      <c r="N64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43" spans="1:14">
      <c r="A643">
        <v>642</v>
      </c>
      <c r="B643" s="1" t="d">
        <v>2023-05-22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t="str">
        <f>TEXT(SalesData[[#This Row],[Date]],"yyyy-mm")</f>
        <v>2023-05</v>
      </c>
      <c r="K643">
        <f>YEAR(SalesData[[#This Row],[Date]])</f>
        <v>2023</v>
      </c>
      <c r="L643" t="str">
        <f>"Q"&amp;ROUNDUP(MONTH(SalesData[[#This Row],[Date]])/3,0)</f>
        <v>Q2</v>
      </c>
      <c r="M643" s="1" t="d">
        <f>DATE(YEAR(SalesData[[#This Row],[Date]]),MONTH(SalesData[[#This Row],[Date]]),1)</f>
        <v>2023-05-01</v>
      </c>
      <c r="N64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44" spans="1:14">
      <c r="A644">
        <v>643</v>
      </c>
      <c r="B644" s="1" t="d">
        <v>2023-09-24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t="str">
        <f>TEXT(SalesData[[#This Row],[Date]],"yyyy-mm")</f>
        <v>2023-09</v>
      </c>
      <c r="K644">
        <f>YEAR(SalesData[[#This Row],[Date]])</f>
        <v>2023</v>
      </c>
      <c r="L644" t="str">
        <f>"Q"&amp;ROUNDUP(MONTH(SalesData[[#This Row],[Date]])/3,0)</f>
        <v>Q3</v>
      </c>
      <c r="M644" s="1" t="d">
        <f>DATE(YEAR(SalesData[[#This Row],[Date]]),MONTH(SalesData[[#This Row],[Date]]),1)</f>
        <v>2023-09-01</v>
      </c>
      <c r="N64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45" spans="1:14">
      <c r="A645">
        <v>644</v>
      </c>
      <c r="B645" s="1" t="d">
        <v>2023-09-06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t="str">
        <f>TEXT(SalesData[[#This Row],[Date]],"yyyy-mm")</f>
        <v>2023-09</v>
      </c>
      <c r="K645">
        <f>YEAR(SalesData[[#This Row],[Date]])</f>
        <v>2023</v>
      </c>
      <c r="L645" t="str">
        <f>"Q"&amp;ROUNDUP(MONTH(SalesData[[#This Row],[Date]])/3,0)</f>
        <v>Q3</v>
      </c>
      <c r="M645" s="1" t="d">
        <f>DATE(YEAR(SalesData[[#This Row],[Date]]),MONTH(SalesData[[#This Row],[Date]]),1)</f>
        <v>2023-09-01</v>
      </c>
      <c r="N64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46" spans="1:14">
      <c r="A646">
        <v>645</v>
      </c>
      <c r="B646" s="1" t="d">
        <v>2023-11-17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t="str">
        <f>TEXT(SalesData[[#This Row],[Date]],"yyyy-mm")</f>
        <v>2023-11</v>
      </c>
      <c r="K646">
        <f>YEAR(SalesData[[#This Row],[Date]])</f>
        <v>2023</v>
      </c>
      <c r="L646" t="str">
        <f>"Q"&amp;ROUNDUP(MONTH(SalesData[[#This Row],[Date]])/3,0)</f>
        <v>Q4</v>
      </c>
      <c r="M646" s="1" t="d">
        <f>DATE(YEAR(SalesData[[#This Row],[Date]]),MONTH(SalesData[[#This Row],[Date]]),1)</f>
        <v>2023-11-01</v>
      </c>
      <c r="N64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47" spans="1:14">
      <c r="A647">
        <v>646</v>
      </c>
      <c r="B647" s="1" t="d">
        <v>2023-05-03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t="str">
        <f>TEXT(SalesData[[#This Row],[Date]],"yyyy-mm")</f>
        <v>2023-05</v>
      </c>
      <c r="K647">
        <f>YEAR(SalesData[[#This Row],[Date]])</f>
        <v>2023</v>
      </c>
      <c r="L647" t="str">
        <f>"Q"&amp;ROUNDUP(MONTH(SalesData[[#This Row],[Date]])/3,0)</f>
        <v>Q2</v>
      </c>
      <c r="M647" s="1" t="d">
        <f>DATE(YEAR(SalesData[[#This Row],[Date]]),MONTH(SalesData[[#This Row],[Date]]),1)</f>
        <v>2023-05-01</v>
      </c>
      <c r="N64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48" spans="1:14">
      <c r="A648">
        <v>647</v>
      </c>
      <c r="B648" s="1" t="d">
        <v>2023-05-21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t="str">
        <f>TEXT(SalesData[[#This Row],[Date]],"yyyy-mm")</f>
        <v>2023-05</v>
      </c>
      <c r="K648">
        <f>YEAR(SalesData[[#This Row],[Date]])</f>
        <v>2023</v>
      </c>
      <c r="L648" t="str">
        <f>"Q"&amp;ROUNDUP(MONTH(SalesData[[#This Row],[Date]])/3,0)</f>
        <v>Q2</v>
      </c>
      <c r="M648" s="1" t="d">
        <f>DATE(YEAR(SalesData[[#This Row],[Date]]),MONTH(SalesData[[#This Row],[Date]]),1)</f>
        <v>2023-05-01</v>
      </c>
      <c r="N64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49" spans="1:14">
      <c r="A649">
        <v>648</v>
      </c>
      <c r="B649" s="1" t="d">
        <v>2023-08-14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t="str">
        <f>TEXT(SalesData[[#This Row],[Date]],"yyyy-mm")</f>
        <v>2023-08</v>
      </c>
      <c r="K649">
        <f>YEAR(SalesData[[#This Row],[Date]])</f>
        <v>2023</v>
      </c>
      <c r="L649" t="str">
        <f>"Q"&amp;ROUNDUP(MONTH(SalesData[[#This Row],[Date]])/3,0)</f>
        <v>Q3</v>
      </c>
      <c r="M649" s="1" t="d">
        <f>DATE(YEAR(SalesData[[#This Row],[Date]]),MONTH(SalesData[[#This Row],[Date]]),1)</f>
        <v>2023-08-01</v>
      </c>
      <c r="N64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0" spans="1:14">
      <c r="A650">
        <v>649</v>
      </c>
      <c r="B650" s="1" t="d">
        <v>2023-02-09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t="str">
        <f>TEXT(SalesData[[#This Row],[Date]],"yyyy-mm")</f>
        <v>2023-02</v>
      </c>
      <c r="K650">
        <f>YEAR(SalesData[[#This Row],[Date]])</f>
        <v>2023</v>
      </c>
      <c r="L650" t="str">
        <f>"Q"&amp;ROUNDUP(MONTH(SalesData[[#This Row],[Date]])/3,0)</f>
        <v>Q1</v>
      </c>
      <c r="M650" s="1" t="d">
        <f>DATE(YEAR(SalesData[[#This Row],[Date]]),MONTH(SalesData[[#This Row],[Date]]),1)</f>
        <v>2023-02-01</v>
      </c>
      <c r="N65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1" spans="1:14">
      <c r="A651">
        <v>650</v>
      </c>
      <c r="B651" s="1" t="d">
        <v>2024-01-01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t="str">
        <f>TEXT(SalesData[[#This Row],[Date]],"yyyy-mm")</f>
        <v>2024-01</v>
      </c>
      <c r="K651">
        <f>YEAR(SalesData[[#This Row],[Date]])</f>
        <v>2024</v>
      </c>
      <c r="L651" t="str">
        <f>"Q"&amp;ROUNDUP(MONTH(SalesData[[#This Row],[Date]])/3,0)</f>
        <v>Q1</v>
      </c>
      <c r="M651" s="1" t="d">
        <f>DATE(YEAR(SalesData[[#This Row],[Date]]),MONTH(SalesData[[#This Row],[Date]]),1)</f>
        <v>2024-01-01</v>
      </c>
      <c r="N65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2" spans="1:14">
      <c r="A652">
        <v>651</v>
      </c>
      <c r="B652" s="1" t="d">
        <v>2023-05-27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t="str">
        <f>TEXT(SalesData[[#This Row],[Date]],"yyyy-mm")</f>
        <v>2023-05</v>
      </c>
      <c r="K652">
        <f>YEAR(SalesData[[#This Row],[Date]])</f>
        <v>2023</v>
      </c>
      <c r="L652" t="str">
        <f>"Q"&amp;ROUNDUP(MONTH(SalesData[[#This Row],[Date]])/3,0)</f>
        <v>Q2</v>
      </c>
      <c r="M652" s="1" t="d">
        <f>DATE(YEAR(SalesData[[#This Row],[Date]]),MONTH(SalesData[[#This Row],[Date]]),1)</f>
        <v>2023-05-01</v>
      </c>
      <c r="N65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3" spans="1:14">
      <c r="A653">
        <v>652</v>
      </c>
      <c r="B653" s="1" t="d">
        <v>2023-05-01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t="str">
        <f>TEXT(SalesData[[#This Row],[Date]],"yyyy-mm")</f>
        <v>2023-05</v>
      </c>
      <c r="K653">
        <f>YEAR(SalesData[[#This Row],[Date]])</f>
        <v>2023</v>
      </c>
      <c r="L653" t="str">
        <f>"Q"&amp;ROUNDUP(MONTH(SalesData[[#This Row],[Date]])/3,0)</f>
        <v>Q2</v>
      </c>
      <c r="M653" s="1" t="d">
        <f>DATE(YEAR(SalesData[[#This Row],[Date]]),MONTH(SalesData[[#This Row],[Date]]),1)</f>
        <v>2023-05-01</v>
      </c>
      <c r="N65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54" spans="1:14">
      <c r="A654">
        <v>653</v>
      </c>
      <c r="B654" s="1" t="d">
        <v>2023-05-20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t="str">
        <f>TEXT(SalesData[[#This Row],[Date]],"yyyy-mm")</f>
        <v>2023-05</v>
      </c>
      <c r="K654">
        <f>YEAR(SalesData[[#This Row],[Date]])</f>
        <v>2023</v>
      </c>
      <c r="L654" t="str">
        <f>"Q"&amp;ROUNDUP(MONTH(SalesData[[#This Row],[Date]])/3,0)</f>
        <v>Q2</v>
      </c>
      <c r="M654" s="1" t="d">
        <f>DATE(YEAR(SalesData[[#This Row],[Date]]),MONTH(SalesData[[#This Row],[Date]]),1)</f>
        <v>2023-05-01</v>
      </c>
      <c r="N65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5" spans="1:14">
      <c r="A655">
        <v>654</v>
      </c>
      <c r="B655" s="1" t="d">
        <v>2023-06-21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t="str">
        <f>TEXT(SalesData[[#This Row],[Date]],"yyyy-mm")</f>
        <v>2023-06</v>
      </c>
      <c r="K655">
        <f>YEAR(SalesData[[#This Row],[Date]])</f>
        <v>2023</v>
      </c>
      <c r="L655" t="str">
        <f>"Q"&amp;ROUNDUP(MONTH(SalesData[[#This Row],[Date]])/3,0)</f>
        <v>Q2</v>
      </c>
      <c r="M655" s="1" t="d">
        <f>DATE(YEAR(SalesData[[#This Row],[Date]]),MONTH(SalesData[[#This Row],[Date]]),1)</f>
        <v>2023-06-01</v>
      </c>
      <c r="N6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56" spans="1:14">
      <c r="A656">
        <v>655</v>
      </c>
      <c r="B656" s="1" t="d">
        <v>2023-06-13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t="str">
        <f>TEXT(SalesData[[#This Row],[Date]],"yyyy-mm")</f>
        <v>2023-06</v>
      </c>
      <c r="K656">
        <f>YEAR(SalesData[[#This Row],[Date]])</f>
        <v>2023</v>
      </c>
      <c r="L656" t="str">
        <f>"Q"&amp;ROUNDUP(MONTH(SalesData[[#This Row],[Date]])/3,0)</f>
        <v>Q2</v>
      </c>
      <c r="M656" s="1" t="d">
        <f>DATE(YEAR(SalesData[[#This Row],[Date]]),MONTH(SalesData[[#This Row],[Date]]),1)</f>
        <v>2023-06-01</v>
      </c>
      <c r="N65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57" spans="1:14">
      <c r="A657">
        <v>656</v>
      </c>
      <c r="B657" s="1" t="d">
        <v>2023-10-04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t="str">
        <f>TEXT(SalesData[[#This Row],[Date]],"yyyy-mm")</f>
        <v>2023-10</v>
      </c>
      <c r="K657">
        <f>YEAR(SalesData[[#This Row],[Date]])</f>
        <v>2023</v>
      </c>
      <c r="L657" t="str">
        <f>"Q"&amp;ROUNDUP(MONTH(SalesData[[#This Row],[Date]])/3,0)</f>
        <v>Q4</v>
      </c>
      <c r="M657" s="1" t="d">
        <f>DATE(YEAR(SalesData[[#This Row],[Date]]),MONTH(SalesData[[#This Row],[Date]]),1)</f>
        <v>2023-10-01</v>
      </c>
      <c r="N65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58" spans="1:14">
      <c r="A658">
        <v>657</v>
      </c>
      <c r="B658" s="1" t="d">
        <v>2023-02-11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t="str">
        <f>TEXT(SalesData[[#This Row],[Date]],"yyyy-mm")</f>
        <v>2023-02</v>
      </c>
      <c r="K658">
        <f>YEAR(SalesData[[#This Row],[Date]])</f>
        <v>2023</v>
      </c>
      <c r="L658" t="str">
        <f>"Q"&amp;ROUNDUP(MONTH(SalesData[[#This Row],[Date]])/3,0)</f>
        <v>Q1</v>
      </c>
      <c r="M658" s="1" t="d">
        <f>DATE(YEAR(SalesData[[#This Row],[Date]]),MONTH(SalesData[[#This Row],[Date]]),1)</f>
        <v>2023-02-01</v>
      </c>
      <c r="N65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59" spans="1:14">
      <c r="A659">
        <v>658</v>
      </c>
      <c r="B659" s="1" t="d">
        <v>2023-03-12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t="str">
        <f>TEXT(SalesData[[#This Row],[Date]],"yyyy-mm")</f>
        <v>2023-03</v>
      </c>
      <c r="K659">
        <f>YEAR(SalesData[[#This Row],[Date]])</f>
        <v>2023</v>
      </c>
      <c r="L659" t="str">
        <f>"Q"&amp;ROUNDUP(MONTH(SalesData[[#This Row],[Date]])/3,0)</f>
        <v>Q1</v>
      </c>
      <c r="M659" s="1" t="d">
        <f>DATE(YEAR(SalesData[[#This Row],[Date]]),MONTH(SalesData[[#This Row],[Date]]),1)</f>
        <v>2023-03-01</v>
      </c>
      <c r="N65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60" spans="1:14">
      <c r="A660">
        <v>659</v>
      </c>
      <c r="B660" s="1" t="d">
        <v>2023-03-19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t="str">
        <f>TEXT(SalesData[[#This Row],[Date]],"yyyy-mm")</f>
        <v>2023-03</v>
      </c>
      <c r="K660">
        <f>YEAR(SalesData[[#This Row],[Date]])</f>
        <v>2023</v>
      </c>
      <c r="L660" t="str">
        <f>"Q"&amp;ROUNDUP(MONTH(SalesData[[#This Row],[Date]])/3,0)</f>
        <v>Q1</v>
      </c>
      <c r="M660" s="1" t="d">
        <f>DATE(YEAR(SalesData[[#This Row],[Date]]),MONTH(SalesData[[#This Row],[Date]]),1)</f>
        <v>2023-03-01</v>
      </c>
      <c r="N66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61" spans="1:14">
      <c r="A661">
        <v>660</v>
      </c>
      <c r="B661" s="1" t="d">
        <v>2023-04-29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t="str">
        <f>TEXT(SalesData[[#This Row],[Date]],"yyyy-mm")</f>
        <v>2023-04</v>
      </c>
      <c r="K661">
        <f>YEAR(SalesData[[#This Row],[Date]])</f>
        <v>2023</v>
      </c>
      <c r="L661" t="str">
        <f>"Q"&amp;ROUNDUP(MONTH(SalesData[[#This Row],[Date]])/3,0)</f>
        <v>Q2</v>
      </c>
      <c r="M661" s="1" t="d">
        <f>DATE(YEAR(SalesData[[#This Row],[Date]]),MONTH(SalesData[[#This Row],[Date]]),1)</f>
        <v>2023-04-01</v>
      </c>
      <c r="N66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62" spans="1:14">
      <c r="A662">
        <v>661</v>
      </c>
      <c r="B662" s="1" t="d">
        <v>2023-07-16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t="str">
        <f>TEXT(SalesData[[#This Row],[Date]],"yyyy-mm")</f>
        <v>2023-07</v>
      </c>
      <c r="K662">
        <f>YEAR(SalesData[[#This Row],[Date]])</f>
        <v>2023</v>
      </c>
      <c r="L662" t="str">
        <f>"Q"&amp;ROUNDUP(MONTH(SalesData[[#This Row],[Date]])/3,0)</f>
        <v>Q3</v>
      </c>
      <c r="M662" s="1" t="d">
        <f>DATE(YEAR(SalesData[[#This Row],[Date]]),MONTH(SalesData[[#This Row],[Date]]),1)</f>
        <v>2023-07-01</v>
      </c>
      <c r="N66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63" spans="1:14">
      <c r="A663">
        <v>662</v>
      </c>
      <c r="B663" s="1" t="d">
        <v>2023-12-22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t="str">
        <f>TEXT(SalesData[[#This Row],[Date]],"yyyy-mm")</f>
        <v>2023-12</v>
      </c>
      <c r="K663">
        <f>YEAR(SalesData[[#This Row],[Date]])</f>
        <v>2023</v>
      </c>
      <c r="L663" t="str">
        <f>"Q"&amp;ROUNDUP(MONTH(SalesData[[#This Row],[Date]])/3,0)</f>
        <v>Q4</v>
      </c>
      <c r="M663" s="1" t="d">
        <f>DATE(YEAR(SalesData[[#This Row],[Date]]),MONTH(SalesData[[#This Row],[Date]]),1)</f>
        <v>2023-12-01</v>
      </c>
      <c r="N66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64" spans="1:14">
      <c r="A664">
        <v>663</v>
      </c>
      <c r="B664" s="1" t="d">
        <v>2023-03-20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t="str">
        <f>TEXT(SalesData[[#This Row],[Date]],"yyyy-mm")</f>
        <v>2023-03</v>
      </c>
      <c r="K664">
        <f>YEAR(SalesData[[#This Row],[Date]])</f>
        <v>2023</v>
      </c>
      <c r="L664" t="str">
        <f>"Q"&amp;ROUNDUP(MONTH(SalesData[[#This Row],[Date]])/3,0)</f>
        <v>Q1</v>
      </c>
      <c r="M664" s="1" t="d">
        <f>DATE(YEAR(SalesData[[#This Row],[Date]]),MONTH(SalesData[[#This Row],[Date]]),1)</f>
        <v>2023-03-01</v>
      </c>
      <c r="N66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65" spans="1:14">
      <c r="A665">
        <v>664</v>
      </c>
      <c r="B665" s="1" t="d">
        <v>2023-12-28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t="str">
        <f>TEXT(SalesData[[#This Row],[Date]],"yyyy-mm")</f>
        <v>2023-12</v>
      </c>
      <c r="K665">
        <f>YEAR(SalesData[[#This Row],[Date]])</f>
        <v>2023</v>
      </c>
      <c r="L665" t="str">
        <f>"Q"&amp;ROUNDUP(MONTH(SalesData[[#This Row],[Date]])/3,0)</f>
        <v>Q4</v>
      </c>
      <c r="M665" s="1" t="d">
        <f>DATE(YEAR(SalesData[[#This Row],[Date]]),MONTH(SalesData[[#This Row],[Date]]),1)</f>
        <v>2023-12-01</v>
      </c>
      <c r="N66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66" spans="1:14">
      <c r="A666">
        <v>665</v>
      </c>
      <c r="B666" s="1" t="d">
        <v>2023-04-20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t="str">
        <f>TEXT(SalesData[[#This Row],[Date]],"yyyy-mm")</f>
        <v>2023-04</v>
      </c>
      <c r="K666">
        <f>YEAR(SalesData[[#This Row],[Date]])</f>
        <v>2023</v>
      </c>
      <c r="L666" t="str">
        <f>"Q"&amp;ROUNDUP(MONTH(SalesData[[#This Row],[Date]])/3,0)</f>
        <v>Q2</v>
      </c>
      <c r="M666" s="1" t="d">
        <f>DATE(YEAR(SalesData[[#This Row],[Date]]),MONTH(SalesData[[#This Row],[Date]]),1)</f>
        <v>2023-04-01</v>
      </c>
      <c r="N66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67" spans="1:14">
      <c r="A667">
        <v>666</v>
      </c>
      <c r="B667" s="1" t="d">
        <v>2023-02-02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t="str">
        <f>TEXT(SalesData[[#This Row],[Date]],"yyyy-mm")</f>
        <v>2023-02</v>
      </c>
      <c r="K667">
        <f>YEAR(SalesData[[#This Row],[Date]])</f>
        <v>2023</v>
      </c>
      <c r="L667" t="str">
        <f>"Q"&amp;ROUNDUP(MONTH(SalesData[[#This Row],[Date]])/3,0)</f>
        <v>Q1</v>
      </c>
      <c r="M667" s="1" t="d">
        <f>DATE(YEAR(SalesData[[#This Row],[Date]]),MONTH(SalesData[[#This Row],[Date]]),1)</f>
        <v>2023-02-01</v>
      </c>
      <c r="N66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68" spans="1:14">
      <c r="A668">
        <v>667</v>
      </c>
      <c r="B668" s="1" t="d">
        <v>2023-08-01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t="str">
        <f>TEXT(SalesData[[#This Row],[Date]],"yyyy-mm")</f>
        <v>2023-08</v>
      </c>
      <c r="K668">
        <f>YEAR(SalesData[[#This Row],[Date]])</f>
        <v>2023</v>
      </c>
      <c r="L668" t="str">
        <f>"Q"&amp;ROUNDUP(MONTH(SalesData[[#This Row],[Date]])/3,0)</f>
        <v>Q3</v>
      </c>
      <c r="M668" s="1" t="d">
        <f>DATE(YEAR(SalesData[[#This Row],[Date]]),MONTH(SalesData[[#This Row],[Date]]),1)</f>
        <v>2023-08-01</v>
      </c>
      <c r="N66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69" spans="1:14">
      <c r="A669">
        <v>668</v>
      </c>
      <c r="B669" s="1" t="d">
        <v>2023-07-28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t="str">
        <f>TEXT(SalesData[[#This Row],[Date]],"yyyy-mm")</f>
        <v>2023-07</v>
      </c>
      <c r="K669">
        <f>YEAR(SalesData[[#This Row],[Date]])</f>
        <v>2023</v>
      </c>
      <c r="L669" t="str">
        <f>"Q"&amp;ROUNDUP(MONTH(SalesData[[#This Row],[Date]])/3,0)</f>
        <v>Q3</v>
      </c>
      <c r="M669" s="1" t="d">
        <f>DATE(YEAR(SalesData[[#This Row],[Date]]),MONTH(SalesData[[#This Row],[Date]]),1)</f>
        <v>2023-07-01</v>
      </c>
      <c r="N66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70" spans="1:14">
      <c r="A670">
        <v>669</v>
      </c>
      <c r="B670" s="1" t="d">
        <v>2023-06-19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t="str">
        <f>TEXT(SalesData[[#This Row],[Date]],"yyyy-mm")</f>
        <v>2023-06</v>
      </c>
      <c r="K670">
        <f>YEAR(SalesData[[#This Row],[Date]])</f>
        <v>2023</v>
      </c>
      <c r="L670" t="str">
        <f>"Q"&amp;ROUNDUP(MONTH(SalesData[[#This Row],[Date]])/3,0)</f>
        <v>Q2</v>
      </c>
      <c r="M670" s="1" t="d">
        <f>DATE(YEAR(SalesData[[#This Row],[Date]]),MONTH(SalesData[[#This Row],[Date]]),1)</f>
        <v>2023-06-01</v>
      </c>
      <c r="N67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71" spans="1:14">
      <c r="A671">
        <v>670</v>
      </c>
      <c r="B671" s="1" t="d">
        <v>2023-10-05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t="str">
        <f>TEXT(SalesData[[#This Row],[Date]],"yyyy-mm")</f>
        <v>2023-10</v>
      </c>
      <c r="K671">
        <f>YEAR(SalesData[[#This Row],[Date]])</f>
        <v>2023</v>
      </c>
      <c r="L671" t="str">
        <f>"Q"&amp;ROUNDUP(MONTH(SalesData[[#This Row],[Date]])/3,0)</f>
        <v>Q4</v>
      </c>
      <c r="M671" s="1" t="d">
        <f>DATE(YEAR(SalesData[[#This Row],[Date]]),MONTH(SalesData[[#This Row],[Date]]),1)</f>
        <v>2023-10-01</v>
      </c>
      <c r="N67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72" spans="1:14">
      <c r="A672">
        <v>671</v>
      </c>
      <c r="B672" s="1" t="d">
        <v>2023-08-27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t="str">
        <f>TEXT(SalesData[[#This Row],[Date]],"yyyy-mm")</f>
        <v>2023-08</v>
      </c>
      <c r="K672">
        <f>YEAR(SalesData[[#This Row],[Date]])</f>
        <v>2023</v>
      </c>
      <c r="L672" t="str">
        <f>"Q"&amp;ROUNDUP(MONTH(SalesData[[#This Row],[Date]])/3,0)</f>
        <v>Q3</v>
      </c>
      <c r="M672" s="1" t="d">
        <f>DATE(YEAR(SalesData[[#This Row],[Date]]),MONTH(SalesData[[#This Row],[Date]]),1)</f>
        <v>2023-08-01</v>
      </c>
      <c r="N67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73" spans="1:14">
      <c r="A673">
        <v>672</v>
      </c>
      <c r="B673" s="1" t="d">
        <v>2023-08-01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t="str">
        <f>TEXT(SalesData[[#This Row],[Date]],"yyyy-mm")</f>
        <v>2023-08</v>
      </c>
      <c r="K673">
        <f>YEAR(SalesData[[#This Row],[Date]])</f>
        <v>2023</v>
      </c>
      <c r="L673" t="str">
        <f>"Q"&amp;ROUNDUP(MONTH(SalesData[[#This Row],[Date]])/3,0)</f>
        <v>Q3</v>
      </c>
      <c r="M673" s="1" t="d">
        <f>DATE(YEAR(SalesData[[#This Row],[Date]]),MONTH(SalesData[[#This Row],[Date]]),1)</f>
        <v>2023-08-01</v>
      </c>
      <c r="N67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74" spans="1:14">
      <c r="A674">
        <v>673</v>
      </c>
      <c r="B674" s="1" t="d">
        <v>2023-02-01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t="str">
        <f>TEXT(SalesData[[#This Row],[Date]],"yyyy-mm")</f>
        <v>2023-02</v>
      </c>
      <c r="K674">
        <f>YEAR(SalesData[[#This Row],[Date]])</f>
        <v>2023</v>
      </c>
      <c r="L674" t="str">
        <f>"Q"&amp;ROUNDUP(MONTH(SalesData[[#This Row],[Date]])/3,0)</f>
        <v>Q1</v>
      </c>
      <c r="M674" s="1" t="d">
        <f>DATE(YEAR(SalesData[[#This Row],[Date]]),MONTH(SalesData[[#This Row],[Date]]),1)</f>
        <v>2023-02-01</v>
      </c>
      <c r="N67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75" spans="1:14">
      <c r="A675">
        <v>674</v>
      </c>
      <c r="B675" s="1" t="d">
        <v>2023-04-16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t="str">
        <f>TEXT(SalesData[[#This Row],[Date]],"yyyy-mm")</f>
        <v>2023-04</v>
      </c>
      <c r="K675">
        <f>YEAR(SalesData[[#This Row],[Date]])</f>
        <v>2023</v>
      </c>
      <c r="L675" t="str">
        <f>"Q"&amp;ROUNDUP(MONTH(SalesData[[#This Row],[Date]])/3,0)</f>
        <v>Q2</v>
      </c>
      <c r="M675" s="1" t="d">
        <f>DATE(YEAR(SalesData[[#This Row],[Date]]),MONTH(SalesData[[#This Row],[Date]]),1)</f>
        <v>2023-04-01</v>
      </c>
      <c r="N67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76" spans="1:14">
      <c r="A676">
        <v>675</v>
      </c>
      <c r="B676" s="1" t="d">
        <v>2023-08-04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t="str">
        <f>TEXT(SalesData[[#This Row],[Date]],"yyyy-mm")</f>
        <v>2023-08</v>
      </c>
      <c r="K676">
        <f>YEAR(SalesData[[#This Row],[Date]])</f>
        <v>2023</v>
      </c>
      <c r="L676" t="str">
        <f>"Q"&amp;ROUNDUP(MONTH(SalesData[[#This Row],[Date]])/3,0)</f>
        <v>Q3</v>
      </c>
      <c r="M676" s="1" t="d">
        <f>DATE(YEAR(SalesData[[#This Row],[Date]]),MONTH(SalesData[[#This Row],[Date]]),1)</f>
        <v>2023-08-01</v>
      </c>
      <c r="N67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77" spans="1:14">
      <c r="A677">
        <v>676</v>
      </c>
      <c r="B677" s="1" t="d">
        <v>2023-07-19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t="str">
        <f>TEXT(SalesData[[#This Row],[Date]],"yyyy-mm")</f>
        <v>2023-07</v>
      </c>
      <c r="K677">
        <f>YEAR(SalesData[[#This Row],[Date]])</f>
        <v>2023</v>
      </c>
      <c r="L677" t="str">
        <f>"Q"&amp;ROUNDUP(MONTH(SalesData[[#This Row],[Date]])/3,0)</f>
        <v>Q3</v>
      </c>
      <c r="M677" s="1" t="d">
        <f>DATE(YEAR(SalesData[[#This Row],[Date]]),MONTH(SalesData[[#This Row],[Date]]),1)</f>
        <v>2023-07-01</v>
      </c>
      <c r="N67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78" spans="1:14">
      <c r="A678">
        <v>677</v>
      </c>
      <c r="B678" s="1" t="d">
        <v>2023-10-27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t="str">
        <f>TEXT(SalesData[[#This Row],[Date]],"yyyy-mm")</f>
        <v>2023-10</v>
      </c>
      <c r="K678">
        <f>YEAR(SalesData[[#This Row],[Date]])</f>
        <v>2023</v>
      </c>
      <c r="L678" t="str">
        <f>"Q"&amp;ROUNDUP(MONTH(SalesData[[#This Row],[Date]])/3,0)</f>
        <v>Q4</v>
      </c>
      <c r="M678" s="1" t="d">
        <f>DATE(YEAR(SalesData[[#This Row],[Date]]),MONTH(SalesData[[#This Row],[Date]]),1)</f>
        <v>2023-10-01</v>
      </c>
      <c r="N67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79" spans="1:14">
      <c r="A679">
        <v>678</v>
      </c>
      <c r="B679" s="1" t="d">
        <v>2023-12-23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t="str">
        <f>TEXT(SalesData[[#This Row],[Date]],"yyyy-mm")</f>
        <v>2023-12</v>
      </c>
      <c r="K679">
        <f>YEAR(SalesData[[#This Row],[Date]])</f>
        <v>2023</v>
      </c>
      <c r="L679" t="str">
        <f>"Q"&amp;ROUNDUP(MONTH(SalesData[[#This Row],[Date]])/3,0)</f>
        <v>Q4</v>
      </c>
      <c r="M679" s="1" t="d">
        <f>DATE(YEAR(SalesData[[#This Row],[Date]]),MONTH(SalesData[[#This Row],[Date]]),1)</f>
        <v>2023-12-01</v>
      </c>
      <c r="N67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80" spans="1:14">
      <c r="A680">
        <v>679</v>
      </c>
      <c r="B680" s="1" t="d">
        <v>2023-01-11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t="str">
        <f>TEXT(SalesData[[#This Row],[Date]],"yyyy-mm")</f>
        <v>2023-01</v>
      </c>
      <c r="K680">
        <f>YEAR(SalesData[[#This Row],[Date]])</f>
        <v>2023</v>
      </c>
      <c r="L680" t="str">
        <f>"Q"&amp;ROUNDUP(MONTH(SalesData[[#This Row],[Date]])/3,0)</f>
        <v>Q1</v>
      </c>
      <c r="M680" s="1" t="d">
        <f>DATE(YEAR(SalesData[[#This Row],[Date]]),MONTH(SalesData[[#This Row],[Date]]),1)</f>
        <v>2023-01-01</v>
      </c>
      <c r="N680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681" spans="1:14">
      <c r="A681">
        <v>680</v>
      </c>
      <c r="B681" s="1" t="d">
        <v>2023-10-22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t="str">
        <f>TEXT(SalesData[[#This Row],[Date]],"yyyy-mm")</f>
        <v>2023-10</v>
      </c>
      <c r="K681">
        <f>YEAR(SalesData[[#This Row],[Date]])</f>
        <v>2023</v>
      </c>
      <c r="L681" t="str">
        <f>"Q"&amp;ROUNDUP(MONTH(SalesData[[#This Row],[Date]])/3,0)</f>
        <v>Q4</v>
      </c>
      <c r="M681" s="1" t="d">
        <f>DATE(YEAR(SalesData[[#This Row],[Date]]),MONTH(SalesData[[#This Row],[Date]]),1)</f>
        <v>2023-10-01</v>
      </c>
      <c r="N68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82" spans="1:14">
      <c r="A682">
        <v>681</v>
      </c>
      <c r="B682" s="1" t="d">
        <v>2023-07-14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t="str">
        <f>TEXT(SalesData[[#This Row],[Date]],"yyyy-mm")</f>
        <v>2023-07</v>
      </c>
      <c r="K682">
        <f>YEAR(SalesData[[#This Row],[Date]])</f>
        <v>2023</v>
      </c>
      <c r="L682" t="str">
        <f>"Q"&amp;ROUNDUP(MONTH(SalesData[[#This Row],[Date]])/3,0)</f>
        <v>Q3</v>
      </c>
      <c r="M682" s="1" t="d">
        <f>DATE(YEAR(SalesData[[#This Row],[Date]]),MONTH(SalesData[[#This Row],[Date]]),1)</f>
        <v>2023-07-01</v>
      </c>
      <c r="N68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83" spans="1:14">
      <c r="A683">
        <v>682</v>
      </c>
      <c r="B683" s="1" t="d">
        <v>2023-09-02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t="str">
        <f>TEXT(SalesData[[#This Row],[Date]],"yyyy-mm")</f>
        <v>2023-09</v>
      </c>
      <c r="K683">
        <f>YEAR(SalesData[[#This Row],[Date]])</f>
        <v>2023</v>
      </c>
      <c r="L683" t="str">
        <f>"Q"&amp;ROUNDUP(MONTH(SalesData[[#This Row],[Date]])/3,0)</f>
        <v>Q3</v>
      </c>
      <c r="M683" s="1" t="d">
        <f>DATE(YEAR(SalesData[[#This Row],[Date]]),MONTH(SalesData[[#This Row],[Date]]),1)</f>
        <v>2023-09-01</v>
      </c>
      <c r="N68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84" spans="1:14">
      <c r="A684">
        <v>683</v>
      </c>
      <c r="B684" s="1" t="d">
        <v>2023-01-04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t="str">
        <f>TEXT(SalesData[[#This Row],[Date]],"yyyy-mm")</f>
        <v>2023-01</v>
      </c>
      <c r="K684">
        <f>YEAR(SalesData[[#This Row],[Date]])</f>
        <v>2023</v>
      </c>
      <c r="L684" t="str">
        <f>"Q"&amp;ROUNDUP(MONTH(SalesData[[#This Row],[Date]])/3,0)</f>
        <v>Q1</v>
      </c>
      <c r="M684" s="1" t="d">
        <f>DATE(YEAR(SalesData[[#This Row],[Date]]),MONTH(SalesData[[#This Row],[Date]]),1)</f>
        <v>2023-01-01</v>
      </c>
      <c r="N68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85" spans="1:14">
      <c r="A685">
        <v>684</v>
      </c>
      <c r="B685" s="1" t="d">
        <v>2023-06-30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t="str">
        <f>TEXT(SalesData[[#This Row],[Date]],"yyyy-mm")</f>
        <v>2023-06</v>
      </c>
      <c r="K685">
        <f>YEAR(SalesData[[#This Row],[Date]])</f>
        <v>2023</v>
      </c>
      <c r="L685" t="str">
        <f>"Q"&amp;ROUNDUP(MONTH(SalesData[[#This Row],[Date]])/3,0)</f>
        <v>Q2</v>
      </c>
      <c r="M685" s="1" t="d">
        <f>DATE(YEAR(SalesData[[#This Row],[Date]]),MONTH(SalesData[[#This Row],[Date]]),1)</f>
        <v>2023-06-01</v>
      </c>
      <c r="N68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86" spans="1:14">
      <c r="A686">
        <v>685</v>
      </c>
      <c r="B686" s="1" t="d">
        <v>2023-06-02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t="str">
        <f>TEXT(SalesData[[#This Row],[Date]],"yyyy-mm")</f>
        <v>2023-06</v>
      </c>
      <c r="K686">
        <f>YEAR(SalesData[[#This Row],[Date]])</f>
        <v>2023</v>
      </c>
      <c r="L686" t="str">
        <f>"Q"&amp;ROUNDUP(MONTH(SalesData[[#This Row],[Date]])/3,0)</f>
        <v>Q2</v>
      </c>
      <c r="M686" s="1" t="d">
        <f>DATE(YEAR(SalesData[[#This Row],[Date]]),MONTH(SalesData[[#This Row],[Date]]),1)</f>
        <v>2023-06-01</v>
      </c>
      <c r="N68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87" spans="1:14">
      <c r="A687">
        <v>686</v>
      </c>
      <c r="B687" s="1" t="d">
        <v>2023-07-19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t="str">
        <f>TEXT(SalesData[[#This Row],[Date]],"yyyy-mm")</f>
        <v>2023-07</v>
      </c>
      <c r="K687">
        <f>YEAR(SalesData[[#This Row],[Date]])</f>
        <v>2023</v>
      </c>
      <c r="L687" t="str">
        <f>"Q"&amp;ROUNDUP(MONTH(SalesData[[#This Row],[Date]])/3,0)</f>
        <v>Q3</v>
      </c>
      <c r="M687" s="1" t="d">
        <f>DATE(YEAR(SalesData[[#This Row],[Date]]),MONTH(SalesData[[#This Row],[Date]]),1)</f>
        <v>2023-07-01</v>
      </c>
      <c r="N68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88" spans="1:14">
      <c r="A688">
        <v>687</v>
      </c>
      <c r="B688" s="1" t="d">
        <v>2023-08-03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t="str">
        <f>TEXT(SalesData[[#This Row],[Date]],"yyyy-mm")</f>
        <v>2023-08</v>
      </c>
      <c r="K688">
        <f>YEAR(SalesData[[#This Row],[Date]])</f>
        <v>2023</v>
      </c>
      <c r="L688" t="str">
        <f>"Q"&amp;ROUNDUP(MONTH(SalesData[[#This Row],[Date]])/3,0)</f>
        <v>Q3</v>
      </c>
      <c r="M688" s="1" t="d">
        <f>DATE(YEAR(SalesData[[#This Row],[Date]]),MONTH(SalesData[[#This Row],[Date]]),1)</f>
        <v>2023-08-01</v>
      </c>
      <c r="N68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89" spans="1:14">
      <c r="A689">
        <v>688</v>
      </c>
      <c r="B689" s="1" t="d">
        <v>2023-10-03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t="str">
        <f>TEXT(SalesData[[#This Row],[Date]],"yyyy-mm")</f>
        <v>2023-10</v>
      </c>
      <c r="K689">
        <f>YEAR(SalesData[[#This Row],[Date]])</f>
        <v>2023</v>
      </c>
      <c r="L689" t="str">
        <f>"Q"&amp;ROUNDUP(MONTH(SalesData[[#This Row],[Date]])/3,0)</f>
        <v>Q4</v>
      </c>
      <c r="M689" s="1" t="d">
        <f>DATE(YEAR(SalesData[[#This Row],[Date]]),MONTH(SalesData[[#This Row],[Date]]),1)</f>
        <v>2023-10-01</v>
      </c>
      <c r="N6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0" spans="1:14">
      <c r="A690">
        <v>689</v>
      </c>
      <c r="B690" s="1" t="d">
        <v>2023-10-07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t="str">
        <f>TEXT(SalesData[[#This Row],[Date]],"yyyy-mm")</f>
        <v>2023-10</v>
      </c>
      <c r="K690">
        <f>YEAR(SalesData[[#This Row],[Date]])</f>
        <v>2023</v>
      </c>
      <c r="L690" t="str">
        <f>"Q"&amp;ROUNDUP(MONTH(SalesData[[#This Row],[Date]])/3,0)</f>
        <v>Q4</v>
      </c>
      <c r="M690" s="1" t="d">
        <f>DATE(YEAR(SalesData[[#This Row],[Date]]),MONTH(SalesData[[#This Row],[Date]]),1)</f>
        <v>2023-10-01</v>
      </c>
      <c r="N69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1" spans="1:14">
      <c r="A691">
        <v>690</v>
      </c>
      <c r="B691" s="1" t="d">
        <v>2023-11-05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t="str">
        <f>TEXT(SalesData[[#This Row],[Date]],"yyyy-mm")</f>
        <v>2023-11</v>
      </c>
      <c r="K691">
        <f>YEAR(SalesData[[#This Row],[Date]])</f>
        <v>2023</v>
      </c>
      <c r="L691" t="str">
        <f>"Q"&amp;ROUNDUP(MONTH(SalesData[[#This Row],[Date]])/3,0)</f>
        <v>Q4</v>
      </c>
      <c r="M691" s="1" t="d">
        <f>DATE(YEAR(SalesData[[#This Row],[Date]]),MONTH(SalesData[[#This Row],[Date]]),1)</f>
        <v>2023-11-01</v>
      </c>
      <c r="N69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2" spans="1:14">
      <c r="A692">
        <v>691</v>
      </c>
      <c r="B692" s="1" t="d">
        <v>2023-04-23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t="str">
        <f>TEXT(SalesData[[#This Row],[Date]],"yyyy-mm")</f>
        <v>2023-04</v>
      </c>
      <c r="K692">
        <f>YEAR(SalesData[[#This Row],[Date]])</f>
        <v>2023</v>
      </c>
      <c r="L692" t="str">
        <f>"Q"&amp;ROUNDUP(MONTH(SalesData[[#This Row],[Date]])/3,0)</f>
        <v>Q2</v>
      </c>
      <c r="M692" s="1" t="d">
        <f>DATE(YEAR(SalesData[[#This Row],[Date]]),MONTH(SalesData[[#This Row],[Date]]),1)</f>
        <v>2023-04-01</v>
      </c>
      <c r="N6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3" spans="1:14">
      <c r="A693">
        <v>692</v>
      </c>
      <c r="B693" s="1" t="d">
        <v>2023-09-07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t="str">
        <f>TEXT(SalesData[[#This Row],[Date]],"yyyy-mm")</f>
        <v>2023-09</v>
      </c>
      <c r="K693">
        <f>YEAR(SalesData[[#This Row],[Date]])</f>
        <v>2023</v>
      </c>
      <c r="L693" t="str">
        <f>"Q"&amp;ROUNDUP(MONTH(SalesData[[#This Row],[Date]])/3,0)</f>
        <v>Q3</v>
      </c>
      <c r="M693" s="1" t="d">
        <f>DATE(YEAR(SalesData[[#This Row],[Date]]),MONTH(SalesData[[#This Row],[Date]]),1)</f>
        <v>2023-09-01</v>
      </c>
      <c r="N69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4" spans="1:14">
      <c r="A694">
        <v>693</v>
      </c>
      <c r="B694" s="1" t="d">
        <v>2023-04-23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t="str">
        <f>TEXT(SalesData[[#This Row],[Date]],"yyyy-mm")</f>
        <v>2023-04</v>
      </c>
      <c r="K694">
        <f>YEAR(SalesData[[#This Row],[Date]])</f>
        <v>2023</v>
      </c>
      <c r="L694" t="str">
        <f>"Q"&amp;ROUNDUP(MONTH(SalesData[[#This Row],[Date]])/3,0)</f>
        <v>Q2</v>
      </c>
      <c r="M694" s="1" t="d">
        <f>DATE(YEAR(SalesData[[#This Row],[Date]]),MONTH(SalesData[[#This Row],[Date]]),1)</f>
        <v>2023-04-01</v>
      </c>
      <c r="N69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695" spans="1:14">
      <c r="A695">
        <v>694</v>
      </c>
      <c r="B695" s="1" t="d">
        <v>2023-05-20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t="str">
        <f>TEXT(SalesData[[#This Row],[Date]],"yyyy-mm")</f>
        <v>2023-05</v>
      </c>
      <c r="K695">
        <f>YEAR(SalesData[[#This Row],[Date]])</f>
        <v>2023</v>
      </c>
      <c r="L695" t="str">
        <f>"Q"&amp;ROUNDUP(MONTH(SalesData[[#This Row],[Date]])/3,0)</f>
        <v>Q2</v>
      </c>
      <c r="M695" s="1" t="d">
        <f>DATE(YEAR(SalesData[[#This Row],[Date]]),MONTH(SalesData[[#This Row],[Date]]),1)</f>
        <v>2023-05-01</v>
      </c>
      <c r="N69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696" spans="1:14">
      <c r="A696">
        <v>695</v>
      </c>
      <c r="B696" s="1" t="d">
        <v>2023-08-12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t="str">
        <f>TEXT(SalesData[[#This Row],[Date]],"yyyy-mm")</f>
        <v>2023-08</v>
      </c>
      <c r="K696">
        <f>YEAR(SalesData[[#This Row],[Date]])</f>
        <v>2023</v>
      </c>
      <c r="L696" t="str">
        <f>"Q"&amp;ROUNDUP(MONTH(SalesData[[#This Row],[Date]])/3,0)</f>
        <v>Q3</v>
      </c>
      <c r="M696" s="1" t="d">
        <f>DATE(YEAR(SalesData[[#This Row],[Date]]),MONTH(SalesData[[#This Row],[Date]]),1)</f>
        <v>2023-08-01</v>
      </c>
      <c r="N69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697" spans="1:14">
      <c r="A697">
        <v>696</v>
      </c>
      <c r="B697" s="1" t="d">
        <v>2023-09-06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t="str">
        <f>TEXT(SalesData[[#This Row],[Date]],"yyyy-mm")</f>
        <v>2023-09</v>
      </c>
      <c r="K697">
        <f>YEAR(SalesData[[#This Row],[Date]])</f>
        <v>2023</v>
      </c>
      <c r="L697" t="str">
        <f>"Q"&amp;ROUNDUP(MONTH(SalesData[[#This Row],[Date]])/3,0)</f>
        <v>Q3</v>
      </c>
      <c r="M697" s="1" t="d">
        <f>DATE(YEAR(SalesData[[#This Row],[Date]]),MONTH(SalesData[[#This Row],[Date]]),1)</f>
        <v>2023-09-01</v>
      </c>
      <c r="N69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8" spans="1:14">
      <c r="A698">
        <v>697</v>
      </c>
      <c r="B698" s="1" t="d">
        <v>2023-01-15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t="str">
        <f>TEXT(SalesData[[#This Row],[Date]],"yyyy-mm")</f>
        <v>2023-01</v>
      </c>
      <c r="K698">
        <f>YEAR(SalesData[[#This Row],[Date]])</f>
        <v>2023</v>
      </c>
      <c r="L698" t="str">
        <f>"Q"&amp;ROUNDUP(MONTH(SalesData[[#This Row],[Date]])/3,0)</f>
        <v>Q1</v>
      </c>
      <c r="M698" s="1" t="d">
        <f>DATE(YEAR(SalesData[[#This Row],[Date]]),MONTH(SalesData[[#This Row],[Date]]),1)</f>
        <v>2023-01-01</v>
      </c>
      <c r="N69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699" spans="1:14">
      <c r="A699">
        <v>698</v>
      </c>
      <c r="B699" s="1" t="d">
        <v>2023-07-19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t="str">
        <f>TEXT(SalesData[[#This Row],[Date]],"yyyy-mm")</f>
        <v>2023-07</v>
      </c>
      <c r="K699">
        <f>YEAR(SalesData[[#This Row],[Date]])</f>
        <v>2023</v>
      </c>
      <c r="L699" t="str">
        <f>"Q"&amp;ROUNDUP(MONTH(SalesData[[#This Row],[Date]])/3,0)</f>
        <v>Q3</v>
      </c>
      <c r="M699" s="1" t="d">
        <f>DATE(YEAR(SalesData[[#This Row],[Date]]),MONTH(SalesData[[#This Row],[Date]]),1)</f>
        <v>2023-07-01</v>
      </c>
      <c r="N69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0" spans="1:14">
      <c r="A700">
        <v>699</v>
      </c>
      <c r="B700" s="1" t="d">
        <v>2023-06-22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t="str">
        <f>TEXT(SalesData[[#This Row],[Date]],"yyyy-mm")</f>
        <v>2023-06</v>
      </c>
      <c r="K700">
        <f>YEAR(SalesData[[#This Row],[Date]])</f>
        <v>2023</v>
      </c>
      <c r="L700" t="str">
        <f>"Q"&amp;ROUNDUP(MONTH(SalesData[[#This Row],[Date]])/3,0)</f>
        <v>Q2</v>
      </c>
      <c r="M700" s="1" t="d">
        <f>DATE(YEAR(SalesData[[#This Row],[Date]]),MONTH(SalesData[[#This Row],[Date]]),1)</f>
        <v>2023-06-01</v>
      </c>
      <c r="N70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01" spans="1:14">
      <c r="A701">
        <v>700</v>
      </c>
      <c r="B701" s="1" t="d">
        <v>2023-12-09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t="str">
        <f>TEXT(SalesData[[#This Row],[Date]],"yyyy-mm")</f>
        <v>2023-12</v>
      </c>
      <c r="K701">
        <f>YEAR(SalesData[[#This Row],[Date]])</f>
        <v>2023</v>
      </c>
      <c r="L701" t="str">
        <f>"Q"&amp;ROUNDUP(MONTH(SalesData[[#This Row],[Date]])/3,0)</f>
        <v>Q4</v>
      </c>
      <c r="M701" s="1" t="d">
        <f>DATE(YEAR(SalesData[[#This Row],[Date]]),MONTH(SalesData[[#This Row],[Date]]),1)</f>
        <v>2023-12-01</v>
      </c>
      <c r="N70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02" spans="1:14">
      <c r="A702">
        <v>701</v>
      </c>
      <c r="B702" s="1" t="d">
        <v>2023-12-14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t="str">
        <f>TEXT(SalesData[[#This Row],[Date]],"yyyy-mm")</f>
        <v>2023-12</v>
      </c>
      <c r="K702">
        <f>YEAR(SalesData[[#This Row],[Date]])</f>
        <v>2023</v>
      </c>
      <c r="L702" t="str">
        <f>"Q"&amp;ROUNDUP(MONTH(SalesData[[#This Row],[Date]])/3,0)</f>
        <v>Q4</v>
      </c>
      <c r="M702" s="1" t="d">
        <f>DATE(YEAR(SalesData[[#This Row],[Date]]),MONTH(SalesData[[#This Row],[Date]]),1)</f>
        <v>2023-12-01</v>
      </c>
      <c r="N70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3" spans="1:14">
      <c r="A703">
        <v>702</v>
      </c>
      <c r="B703" s="1" t="d">
        <v>2023-07-27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t="str">
        <f>TEXT(SalesData[[#This Row],[Date]],"yyyy-mm")</f>
        <v>2023-07</v>
      </c>
      <c r="K703">
        <f>YEAR(SalesData[[#This Row],[Date]])</f>
        <v>2023</v>
      </c>
      <c r="L703" t="str">
        <f>"Q"&amp;ROUNDUP(MONTH(SalesData[[#This Row],[Date]])/3,0)</f>
        <v>Q3</v>
      </c>
      <c r="M703" s="1" t="d">
        <f>DATE(YEAR(SalesData[[#This Row],[Date]]),MONTH(SalesData[[#This Row],[Date]]),1)</f>
        <v>2023-07-01</v>
      </c>
      <c r="N70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4" spans="1:14">
      <c r="A704">
        <v>703</v>
      </c>
      <c r="B704" s="1" t="d">
        <v>2023-03-26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t="str">
        <f>TEXT(SalesData[[#This Row],[Date]],"yyyy-mm")</f>
        <v>2023-03</v>
      </c>
      <c r="K704">
        <f>YEAR(SalesData[[#This Row],[Date]])</f>
        <v>2023</v>
      </c>
      <c r="L704" t="str">
        <f>"Q"&amp;ROUNDUP(MONTH(SalesData[[#This Row],[Date]])/3,0)</f>
        <v>Q1</v>
      </c>
      <c r="M704" s="1" t="d">
        <f>DATE(YEAR(SalesData[[#This Row],[Date]]),MONTH(SalesData[[#This Row],[Date]]),1)</f>
        <v>2023-03-01</v>
      </c>
      <c r="N70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05" spans="1:14">
      <c r="A705">
        <v>704</v>
      </c>
      <c r="B705" s="1" t="d">
        <v>2023-08-28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t="str">
        <f>TEXT(SalesData[[#This Row],[Date]],"yyyy-mm")</f>
        <v>2023-08</v>
      </c>
      <c r="K705">
        <f>YEAR(SalesData[[#This Row],[Date]])</f>
        <v>2023</v>
      </c>
      <c r="L705" t="str">
        <f>"Q"&amp;ROUNDUP(MONTH(SalesData[[#This Row],[Date]])/3,0)</f>
        <v>Q3</v>
      </c>
      <c r="M705" s="1" t="d">
        <f>DATE(YEAR(SalesData[[#This Row],[Date]]),MONTH(SalesData[[#This Row],[Date]]),1)</f>
        <v>2023-08-01</v>
      </c>
      <c r="N70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6" spans="1:14">
      <c r="A706">
        <v>705</v>
      </c>
      <c r="B706" s="1" t="d">
        <v>2023-03-07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t="str">
        <f>TEXT(SalesData[[#This Row],[Date]],"yyyy-mm")</f>
        <v>2023-03</v>
      </c>
      <c r="K706">
        <f>YEAR(SalesData[[#This Row],[Date]])</f>
        <v>2023</v>
      </c>
      <c r="L706" t="str">
        <f>"Q"&amp;ROUNDUP(MONTH(SalesData[[#This Row],[Date]])/3,0)</f>
        <v>Q1</v>
      </c>
      <c r="M706" s="1" t="d">
        <f>DATE(YEAR(SalesData[[#This Row],[Date]]),MONTH(SalesData[[#This Row],[Date]]),1)</f>
        <v>2023-03-01</v>
      </c>
      <c r="N70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7" spans="1:14">
      <c r="A707">
        <v>706</v>
      </c>
      <c r="B707" s="1" t="d">
        <v>2023-11-15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t="str">
        <f>TEXT(SalesData[[#This Row],[Date]],"yyyy-mm")</f>
        <v>2023-11</v>
      </c>
      <c r="K707">
        <f>YEAR(SalesData[[#This Row],[Date]])</f>
        <v>2023</v>
      </c>
      <c r="L707" t="str">
        <f>"Q"&amp;ROUNDUP(MONTH(SalesData[[#This Row],[Date]])/3,0)</f>
        <v>Q4</v>
      </c>
      <c r="M707" s="1" t="d">
        <f>DATE(YEAR(SalesData[[#This Row],[Date]]),MONTH(SalesData[[#This Row],[Date]]),1)</f>
        <v>2023-11-01</v>
      </c>
      <c r="N70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08" spans="1:14">
      <c r="A708">
        <v>707</v>
      </c>
      <c r="B708" s="1" t="d">
        <v>2023-10-01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t="str">
        <f>TEXT(SalesData[[#This Row],[Date]],"yyyy-mm")</f>
        <v>2023-10</v>
      </c>
      <c r="K708">
        <f>YEAR(SalesData[[#This Row],[Date]])</f>
        <v>2023</v>
      </c>
      <c r="L708" t="str">
        <f>"Q"&amp;ROUNDUP(MONTH(SalesData[[#This Row],[Date]])/3,0)</f>
        <v>Q4</v>
      </c>
      <c r="M708" s="1" t="d">
        <f>DATE(YEAR(SalesData[[#This Row],[Date]]),MONTH(SalesData[[#This Row],[Date]]),1)</f>
        <v>2023-10-01</v>
      </c>
      <c r="N70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09" spans="1:14">
      <c r="A709">
        <v>708</v>
      </c>
      <c r="B709" s="1" t="d">
        <v>2023-01-14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t="str">
        <f>TEXT(SalesData[[#This Row],[Date]],"yyyy-mm")</f>
        <v>2023-01</v>
      </c>
      <c r="K709">
        <f>YEAR(SalesData[[#This Row],[Date]])</f>
        <v>2023</v>
      </c>
      <c r="L709" t="str">
        <f>"Q"&amp;ROUNDUP(MONTH(SalesData[[#This Row],[Date]])/3,0)</f>
        <v>Q1</v>
      </c>
      <c r="M709" s="1" t="d">
        <f>DATE(YEAR(SalesData[[#This Row],[Date]]),MONTH(SalesData[[#This Row],[Date]]),1)</f>
        <v>2023-01-01</v>
      </c>
      <c r="N70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10" spans="1:14">
      <c r="A710">
        <v>709</v>
      </c>
      <c r="B710" s="1" t="d">
        <v>2023-07-21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t="str">
        <f>TEXT(SalesData[[#This Row],[Date]],"yyyy-mm")</f>
        <v>2023-07</v>
      </c>
      <c r="K710">
        <f>YEAR(SalesData[[#This Row],[Date]])</f>
        <v>2023</v>
      </c>
      <c r="L710" t="str">
        <f>"Q"&amp;ROUNDUP(MONTH(SalesData[[#This Row],[Date]])/3,0)</f>
        <v>Q3</v>
      </c>
      <c r="M710" s="1" t="d">
        <f>DATE(YEAR(SalesData[[#This Row],[Date]]),MONTH(SalesData[[#This Row],[Date]]),1)</f>
        <v>2023-07-01</v>
      </c>
      <c r="N710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711" spans="1:14">
      <c r="A711">
        <v>710</v>
      </c>
      <c r="B711" s="1" t="d">
        <v>2023-10-31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t="str">
        <f>TEXT(SalesData[[#This Row],[Date]],"yyyy-mm")</f>
        <v>2023-10</v>
      </c>
      <c r="K711">
        <f>YEAR(SalesData[[#This Row],[Date]])</f>
        <v>2023</v>
      </c>
      <c r="L711" t="str">
        <f>"Q"&amp;ROUNDUP(MONTH(SalesData[[#This Row],[Date]])/3,0)</f>
        <v>Q4</v>
      </c>
      <c r="M711" s="1" t="d">
        <f>DATE(YEAR(SalesData[[#This Row],[Date]]),MONTH(SalesData[[#This Row],[Date]]),1)</f>
        <v>2023-10-01</v>
      </c>
      <c r="N7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12" spans="1:14">
      <c r="A712">
        <v>711</v>
      </c>
      <c r="B712" s="1" t="d">
        <v>2023-10-16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t="str">
        <f>TEXT(SalesData[[#This Row],[Date]],"yyyy-mm")</f>
        <v>2023-10</v>
      </c>
      <c r="K712">
        <f>YEAR(SalesData[[#This Row],[Date]])</f>
        <v>2023</v>
      </c>
      <c r="L712" t="str">
        <f>"Q"&amp;ROUNDUP(MONTH(SalesData[[#This Row],[Date]])/3,0)</f>
        <v>Q4</v>
      </c>
      <c r="M712" s="1" t="d">
        <f>DATE(YEAR(SalesData[[#This Row],[Date]]),MONTH(SalesData[[#This Row],[Date]]),1)</f>
        <v>2023-10-01</v>
      </c>
      <c r="N71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13" spans="1:14">
      <c r="A713">
        <v>712</v>
      </c>
      <c r="B713" s="1" t="d">
        <v>2023-12-06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t="str">
        <f>TEXT(SalesData[[#This Row],[Date]],"yyyy-mm")</f>
        <v>2023-12</v>
      </c>
      <c r="K713">
        <f>YEAR(SalesData[[#This Row],[Date]])</f>
        <v>2023</v>
      </c>
      <c r="L713" t="str">
        <f>"Q"&amp;ROUNDUP(MONTH(SalesData[[#This Row],[Date]])/3,0)</f>
        <v>Q4</v>
      </c>
      <c r="M713" s="1" t="d">
        <f>DATE(YEAR(SalesData[[#This Row],[Date]]),MONTH(SalesData[[#This Row],[Date]]),1)</f>
        <v>2023-12-01</v>
      </c>
      <c r="N71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14" spans="1:14">
      <c r="A714">
        <v>713</v>
      </c>
      <c r="B714" s="1" t="d">
        <v>2023-01-14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t="str">
        <f>TEXT(SalesData[[#This Row],[Date]],"yyyy-mm")</f>
        <v>2023-01</v>
      </c>
      <c r="K714">
        <f>YEAR(SalesData[[#This Row],[Date]])</f>
        <v>2023</v>
      </c>
      <c r="L714" t="str">
        <f>"Q"&amp;ROUNDUP(MONTH(SalesData[[#This Row],[Date]])/3,0)</f>
        <v>Q1</v>
      </c>
      <c r="M714" s="1" t="d">
        <f>DATE(YEAR(SalesData[[#This Row],[Date]]),MONTH(SalesData[[#This Row],[Date]]),1)</f>
        <v>2023-01-01</v>
      </c>
      <c r="N71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15" spans="1:14">
      <c r="A715">
        <v>714</v>
      </c>
      <c r="B715" s="1" t="d">
        <v>2023-02-12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t="str">
        <f>TEXT(SalesData[[#This Row],[Date]],"yyyy-mm")</f>
        <v>2023-02</v>
      </c>
      <c r="K715">
        <f>YEAR(SalesData[[#This Row],[Date]])</f>
        <v>2023</v>
      </c>
      <c r="L715" t="str">
        <f>"Q"&amp;ROUNDUP(MONTH(SalesData[[#This Row],[Date]])/3,0)</f>
        <v>Q1</v>
      </c>
      <c r="M715" s="1" t="d">
        <f>DATE(YEAR(SalesData[[#This Row],[Date]]),MONTH(SalesData[[#This Row],[Date]]),1)</f>
        <v>2023-02-01</v>
      </c>
      <c r="N715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716" spans="1:14">
      <c r="A716">
        <v>715</v>
      </c>
      <c r="B716" s="1" t="d">
        <v>2023-11-26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t="str">
        <f>TEXT(SalesData[[#This Row],[Date]],"yyyy-mm")</f>
        <v>2023-11</v>
      </c>
      <c r="K716">
        <f>YEAR(SalesData[[#This Row],[Date]])</f>
        <v>2023</v>
      </c>
      <c r="L716" t="str">
        <f>"Q"&amp;ROUNDUP(MONTH(SalesData[[#This Row],[Date]])/3,0)</f>
        <v>Q4</v>
      </c>
      <c r="M716" s="1" t="d">
        <f>DATE(YEAR(SalesData[[#This Row],[Date]]),MONTH(SalesData[[#This Row],[Date]]),1)</f>
        <v>2023-11-01</v>
      </c>
      <c r="N71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17" spans="1:14">
      <c r="A717">
        <v>716</v>
      </c>
      <c r="B717" s="1" t="d">
        <v>2023-08-08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t="str">
        <f>TEXT(SalesData[[#This Row],[Date]],"yyyy-mm")</f>
        <v>2023-08</v>
      </c>
      <c r="K717">
        <f>YEAR(SalesData[[#This Row],[Date]])</f>
        <v>2023</v>
      </c>
      <c r="L717" t="str">
        <f>"Q"&amp;ROUNDUP(MONTH(SalesData[[#This Row],[Date]])/3,0)</f>
        <v>Q3</v>
      </c>
      <c r="M717" s="1" t="d">
        <f>DATE(YEAR(SalesData[[#This Row],[Date]]),MONTH(SalesData[[#This Row],[Date]]),1)</f>
        <v>2023-08-01</v>
      </c>
      <c r="N71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18" spans="1:14">
      <c r="A718">
        <v>717</v>
      </c>
      <c r="B718" s="1" t="d">
        <v>2023-03-11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t="str">
        <f>TEXT(SalesData[[#This Row],[Date]],"yyyy-mm")</f>
        <v>2023-03</v>
      </c>
      <c r="K718">
        <f>YEAR(SalesData[[#This Row],[Date]])</f>
        <v>2023</v>
      </c>
      <c r="L718" t="str">
        <f>"Q"&amp;ROUNDUP(MONTH(SalesData[[#This Row],[Date]])/3,0)</f>
        <v>Q1</v>
      </c>
      <c r="M718" s="1" t="d">
        <f>DATE(YEAR(SalesData[[#This Row],[Date]]),MONTH(SalesData[[#This Row],[Date]]),1)</f>
        <v>2023-03-01</v>
      </c>
      <c r="N71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19" spans="1:14">
      <c r="A719">
        <v>718</v>
      </c>
      <c r="B719" s="1" t="d">
        <v>2023-08-25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t="str">
        <f>TEXT(SalesData[[#This Row],[Date]],"yyyy-mm")</f>
        <v>2023-08</v>
      </c>
      <c r="K719">
        <f>YEAR(SalesData[[#This Row],[Date]])</f>
        <v>2023</v>
      </c>
      <c r="L719" t="str">
        <f>"Q"&amp;ROUNDUP(MONTH(SalesData[[#This Row],[Date]])/3,0)</f>
        <v>Q3</v>
      </c>
      <c r="M719" s="1" t="d">
        <f>DATE(YEAR(SalesData[[#This Row],[Date]]),MONTH(SalesData[[#This Row],[Date]]),1)</f>
        <v>2023-08-01</v>
      </c>
      <c r="N71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0" spans="1:14">
      <c r="A720">
        <v>719</v>
      </c>
      <c r="B720" s="1" t="d">
        <v>2023-04-04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t="str">
        <f>TEXT(SalesData[[#This Row],[Date]],"yyyy-mm")</f>
        <v>2023-04</v>
      </c>
      <c r="K720">
        <f>YEAR(SalesData[[#This Row],[Date]])</f>
        <v>2023</v>
      </c>
      <c r="L720" t="str">
        <f>"Q"&amp;ROUNDUP(MONTH(SalesData[[#This Row],[Date]])/3,0)</f>
        <v>Q2</v>
      </c>
      <c r="M720" s="1" t="d">
        <f>DATE(YEAR(SalesData[[#This Row],[Date]]),MONTH(SalesData[[#This Row],[Date]]),1)</f>
        <v>2023-04-01</v>
      </c>
      <c r="N72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21" spans="1:14">
      <c r="A721">
        <v>720</v>
      </c>
      <c r="B721" s="1" t="d">
        <v>2023-01-26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t="str">
        <f>TEXT(SalesData[[#This Row],[Date]],"yyyy-mm")</f>
        <v>2023-01</v>
      </c>
      <c r="K721">
        <f>YEAR(SalesData[[#This Row],[Date]])</f>
        <v>2023</v>
      </c>
      <c r="L721" t="str">
        <f>"Q"&amp;ROUNDUP(MONTH(SalesData[[#This Row],[Date]])/3,0)</f>
        <v>Q1</v>
      </c>
      <c r="M721" s="1" t="d">
        <f>DATE(YEAR(SalesData[[#This Row],[Date]]),MONTH(SalesData[[#This Row],[Date]]),1)</f>
        <v>2023-01-01</v>
      </c>
      <c r="N72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2" spans="1:14">
      <c r="A722">
        <v>721</v>
      </c>
      <c r="B722" s="1" t="d">
        <v>2023-05-14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t="str">
        <f>TEXT(SalesData[[#This Row],[Date]],"yyyy-mm")</f>
        <v>2023-05</v>
      </c>
      <c r="K722">
        <f>YEAR(SalesData[[#This Row],[Date]])</f>
        <v>2023</v>
      </c>
      <c r="L722" t="str">
        <f>"Q"&amp;ROUNDUP(MONTH(SalesData[[#This Row],[Date]])/3,0)</f>
        <v>Q2</v>
      </c>
      <c r="M722" s="1" t="d">
        <f>DATE(YEAR(SalesData[[#This Row],[Date]]),MONTH(SalesData[[#This Row],[Date]]),1)</f>
        <v>2023-05-01</v>
      </c>
      <c r="N72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3" spans="1:14">
      <c r="A723">
        <v>722</v>
      </c>
      <c r="B723" s="1" t="d">
        <v>2023-07-14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t="str">
        <f>TEXT(SalesData[[#This Row],[Date]],"yyyy-mm")</f>
        <v>2023-07</v>
      </c>
      <c r="K723">
        <f>YEAR(SalesData[[#This Row],[Date]])</f>
        <v>2023</v>
      </c>
      <c r="L723" t="str">
        <f>"Q"&amp;ROUNDUP(MONTH(SalesData[[#This Row],[Date]])/3,0)</f>
        <v>Q3</v>
      </c>
      <c r="M723" s="1" t="d">
        <f>DATE(YEAR(SalesData[[#This Row],[Date]]),MONTH(SalesData[[#This Row],[Date]]),1)</f>
        <v>2023-07-01</v>
      </c>
      <c r="N72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24" spans="1:14">
      <c r="A724">
        <v>723</v>
      </c>
      <c r="B724" s="1" t="d">
        <v>2023-06-17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t="str">
        <f>TEXT(SalesData[[#This Row],[Date]],"yyyy-mm")</f>
        <v>2023-06</v>
      </c>
      <c r="K724">
        <f>YEAR(SalesData[[#This Row],[Date]])</f>
        <v>2023</v>
      </c>
      <c r="L724" t="str">
        <f>"Q"&amp;ROUNDUP(MONTH(SalesData[[#This Row],[Date]])/3,0)</f>
        <v>Q2</v>
      </c>
      <c r="M724" s="1" t="d">
        <f>DATE(YEAR(SalesData[[#This Row],[Date]]),MONTH(SalesData[[#This Row],[Date]]),1)</f>
        <v>2023-06-01</v>
      </c>
      <c r="N72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5" spans="1:14">
      <c r="A725">
        <v>724</v>
      </c>
      <c r="B725" s="1" t="d">
        <v>2023-04-19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t="str">
        <f>TEXT(SalesData[[#This Row],[Date]],"yyyy-mm")</f>
        <v>2023-04</v>
      </c>
      <c r="K725">
        <f>YEAR(SalesData[[#This Row],[Date]])</f>
        <v>2023</v>
      </c>
      <c r="L725" t="str">
        <f>"Q"&amp;ROUNDUP(MONTH(SalesData[[#This Row],[Date]])/3,0)</f>
        <v>Q2</v>
      </c>
      <c r="M725" s="1" t="d">
        <f>DATE(YEAR(SalesData[[#This Row],[Date]]),MONTH(SalesData[[#This Row],[Date]]),1)</f>
        <v>2023-04-01</v>
      </c>
      <c r="N72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6" spans="1:14">
      <c r="A726">
        <v>725</v>
      </c>
      <c r="B726" s="1" t="d">
        <v>2023-08-21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t="str">
        <f>TEXT(SalesData[[#This Row],[Date]],"yyyy-mm")</f>
        <v>2023-08</v>
      </c>
      <c r="K726">
        <f>YEAR(SalesData[[#This Row],[Date]])</f>
        <v>2023</v>
      </c>
      <c r="L726" t="str">
        <f>"Q"&amp;ROUNDUP(MONTH(SalesData[[#This Row],[Date]])/3,0)</f>
        <v>Q3</v>
      </c>
      <c r="M726" s="1" t="d">
        <f>DATE(YEAR(SalesData[[#This Row],[Date]]),MONTH(SalesData[[#This Row],[Date]]),1)</f>
        <v>2023-08-01</v>
      </c>
      <c r="N72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7" spans="1:14">
      <c r="A727">
        <v>726</v>
      </c>
      <c r="B727" s="1" t="d">
        <v>2023-06-17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t="str">
        <f>TEXT(SalesData[[#This Row],[Date]],"yyyy-mm")</f>
        <v>2023-06</v>
      </c>
      <c r="K727">
        <f>YEAR(SalesData[[#This Row],[Date]])</f>
        <v>2023</v>
      </c>
      <c r="L727" t="str">
        <f>"Q"&amp;ROUNDUP(MONTH(SalesData[[#This Row],[Date]])/3,0)</f>
        <v>Q2</v>
      </c>
      <c r="M727" s="1" t="d">
        <f>DATE(YEAR(SalesData[[#This Row],[Date]]),MONTH(SalesData[[#This Row],[Date]]),1)</f>
        <v>2023-06-01</v>
      </c>
      <c r="N72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28" spans="1:14">
      <c r="A728">
        <v>727</v>
      </c>
      <c r="B728" s="1" t="d">
        <v>2023-06-22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t="str">
        <f>TEXT(SalesData[[#This Row],[Date]],"yyyy-mm")</f>
        <v>2023-06</v>
      </c>
      <c r="K728">
        <f>YEAR(SalesData[[#This Row],[Date]])</f>
        <v>2023</v>
      </c>
      <c r="L728" t="str">
        <f>"Q"&amp;ROUNDUP(MONTH(SalesData[[#This Row],[Date]])/3,0)</f>
        <v>Q2</v>
      </c>
      <c r="M728" s="1" t="d">
        <f>DATE(YEAR(SalesData[[#This Row],[Date]]),MONTH(SalesData[[#This Row],[Date]]),1)</f>
        <v>2023-06-01</v>
      </c>
      <c r="N72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29" spans="1:14">
      <c r="A729">
        <v>728</v>
      </c>
      <c r="B729" s="1" t="d">
        <v>2023-07-14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t="str">
        <f>TEXT(SalesData[[#This Row],[Date]],"yyyy-mm")</f>
        <v>2023-07</v>
      </c>
      <c r="K729">
        <f>YEAR(SalesData[[#This Row],[Date]])</f>
        <v>2023</v>
      </c>
      <c r="L729" t="str">
        <f>"Q"&amp;ROUNDUP(MONTH(SalesData[[#This Row],[Date]])/3,0)</f>
        <v>Q3</v>
      </c>
      <c r="M729" s="1" t="d">
        <f>DATE(YEAR(SalesData[[#This Row],[Date]]),MONTH(SalesData[[#This Row],[Date]]),1)</f>
        <v>2023-07-01</v>
      </c>
      <c r="N72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30" spans="1:14">
      <c r="A730">
        <v>729</v>
      </c>
      <c r="B730" s="1" t="d">
        <v>2023-05-23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t="str">
        <f>TEXT(SalesData[[#This Row],[Date]],"yyyy-mm")</f>
        <v>2023-05</v>
      </c>
      <c r="K730">
        <f>YEAR(SalesData[[#This Row],[Date]])</f>
        <v>2023</v>
      </c>
      <c r="L730" t="str">
        <f>"Q"&amp;ROUNDUP(MONTH(SalesData[[#This Row],[Date]])/3,0)</f>
        <v>Q2</v>
      </c>
      <c r="M730" s="1" t="d">
        <f>DATE(YEAR(SalesData[[#This Row],[Date]]),MONTH(SalesData[[#This Row],[Date]]),1)</f>
        <v>2023-05-01</v>
      </c>
      <c r="N73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31" spans="1:14">
      <c r="A731">
        <v>730</v>
      </c>
      <c r="B731" s="1" t="d">
        <v>2023-08-04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t="str">
        <f>TEXT(SalesData[[#This Row],[Date]],"yyyy-mm")</f>
        <v>2023-08</v>
      </c>
      <c r="K731">
        <f>YEAR(SalesData[[#This Row],[Date]])</f>
        <v>2023</v>
      </c>
      <c r="L731" t="str">
        <f>"Q"&amp;ROUNDUP(MONTH(SalesData[[#This Row],[Date]])/3,0)</f>
        <v>Q3</v>
      </c>
      <c r="M731" s="1" t="d">
        <f>DATE(YEAR(SalesData[[#This Row],[Date]]),MONTH(SalesData[[#This Row],[Date]]),1)</f>
        <v>2023-08-01</v>
      </c>
      <c r="N73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32" spans="1:14">
      <c r="A732">
        <v>731</v>
      </c>
      <c r="B732" s="1" t="d">
        <v>2023-05-10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t="str">
        <f>TEXT(SalesData[[#This Row],[Date]],"yyyy-mm")</f>
        <v>2023-05</v>
      </c>
      <c r="K732">
        <f>YEAR(SalesData[[#This Row],[Date]])</f>
        <v>2023</v>
      </c>
      <c r="L732" t="str">
        <f>"Q"&amp;ROUNDUP(MONTH(SalesData[[#This Row],[Date]])/3,0)</f>
        <v>Q2</v>
      </c>
      <c r="M732" s="1" t="d">
        <f>DATE(YEAR(SalesData[[#This Row],[Date]]),MONTH(SalesData[[#This Row],[Date]]),1)</f>
        <v>2023-05-01</v>
      </c>
      <c r="N73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33" spans="1:14">
      <c r="A733">
        <v>732</v>
      </c>
      <c r="B733" s="1" t="d">
        <v>2023-02-11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t="str">
        <f>TEXT(SalesData[[#This Row],[Date]],"yyyy-mm")</f>
        <v>2023-02</v>
      </c>
      <c r="K733">
        <f>YEAR(SalesData[[#This Row],[Date]])</f>
        <v>2023</v>
      </c>
      <c r="L733" t="str">
        <f>"Q"&amp;ROUNDUP(MONTH(SalesData[[#This Row],[Date]])/3,0)</f>
        <v>Q1</v>
      </c>
      <c r="M733" s="1" t="d">
        <f>DATE(YEAR(SalesData[[#This Row],[Date]]),MONTH(SalesData[[#This Row],[Date]]),1)</f>
        <v>2023-02-01</v>
      </c>
      <c r="N73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34" spans="1:14">
      <c r="A734">
        <v>733</v>
      </c>
      <c r="B734" s="1" t="d">
        <v>2023-08-29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t="str">
        <f>TEXT(SalesData[[#This Row],[Date]],"yyyy-mm")</f>
        <v>2023-08</v>
      </c>
      <c r="K734">
        <f>YEAR(SalesData[[#This Row],[Date]])</f>
        <v>2023</v>
      </c>
      <c r="L734" t="str">
        <f>"Q"&amp;ROUNDUP(MONTH(SalesData[[#This Row],[Date]])/3,0)</f>
        <v>Q3</v>
      </c>
      <c r="M734" s="1" t="d">
        <f>DATE(YEAR(SalesData[[#This Row],[Date]]),MONTH(SalesData[[#This Row],[Date]]),1)</f>
        <v>2023-08-01</v>
      </c>
      <c r="N73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35" spans="1:14">
      <c r="A735">
        <v>734</v>
      </c>
      <c r="B735" s="1" t="d">
        <v>2023-01-10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t="str">
        <f>TEXT(SalesData[[#This Row],[Date]],"yyyy-mm")</f>
        <v>2023-01</v>
      </c>
      <c r="K735">
        <f>YEAR(SalesData[[#This Row],[Date]])</f>
        <v>2023</v>
      </c>
      <c r="L735" t="str">
        <f>"Q"&amp;ROUNDUP(MONTH(SalesData[[#This Row],[Date]])/3,0)</f>
        <v>Q1</v>
      </c>
      <c r="M735" s="1" t="d">
        <f>DATE(YEAR(SalesData[[#This Row],[Date]]),MONTH(SalesData[[#This Row],[Date]]),1)</f>
        <v>2023-01-01</v>
      </c>
      <c r="N73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36" spans="1:14">
      <c r="A736">
        <v>735</v>
      </c>
      <c r="B736" s="1" t="d">
        <v>2023-10-04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t="str">
        <f>TEXT(SalesData[[#This Row],[Date]],"yyyy-mm")</f>
        <v>2023-10</v>
      </c>
      <c r="K736">
        <f>YEAR(SalesData[[#This Row],[Date]])</f>
        <v>2023</v>
      </c>
      <c r="L736" t="str">
        <f>"Q"&amp;ROUNDUP(MONTH(SalesData[[#This Row],[Date]])/3,0)</f>
        <v>Q4</v>
      </c>
      <c r="M736" s="1" t="d">
        <f>DATE(YEAR(SalesData[[#This Row],[Date]]),MONTH(SalesData[[#This Row],[Date]]),1)</f>
        <v>2023-10-01</v>
      </c>
      <c r="N73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37" spans="1:14">
      <c r="A737">
        <v>736</v>
      </c>
      <c r="B737" s="1" t="d">
        <v>2023-01-27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t="str">
        <f>TEXT(SalesData[[#This Row],[Date]],"yyyy-mm")</f>
        <v>2023-01</v>
      </c>
      <c r="K737">
        <f>YEAR(SalesData[[#This Row],[Date]])</f>
        <v>2023</v>
      </c>
      <c r="L737" t="str">
        <f>"Q"&amp;ROUNDUP(MONTH(SalesData[[#This Row],[Date]])/3,0)</f>
        <v>Q1</v>
      </c>
      <c r="M737" s="1" t="d">
        <f>DATE(YEAR(SalesData[[#This Row],[Date]]),MONTH(SalesData[[#This Row],[Date]]),1)</f>
        <v>2023-01-01</v>
      </c>
      <c r="N73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38" spans="1:14">
      <c r="A738">
        <v>737</v>
      </c>
      <c r="B738" s="1" t="d">
        <v>2023-06-29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t="str">
        <f>TEXT(SalesData[[#This Row],[Date]],"yyyy-mm")</f>
        <v>2023-06</v>
      </c>
      <c r="K738">
        <f>YEAR(SalesData[[#This Row],[Date]])</f>
        <v>2023</v>
      </c>
      <c r="L738" t="str">
        <f>"Q"&amp;ROUNDUP(MONTH(SalesData[[#This Row],[Date]])/3,0)</f>
        <v>Q2</v>
      </c>
      <c r="M738" s="1" t="d">
        <f>DATE(YEAR(SalesData[[#This Row],[Date]]),MONTH(SalesData[[#This Row],[Date]]),1)</f>
        <v>2023-06-01</v>
      </c>
      <c r="N73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39" spans="1:14">
      <c r="A739">
        <v>738</v>
      </c>
      <c r="B739" s="1" t="d">
        <v>2023-04-25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t="str">
        <f>TEXT(SalesData[[#This Row],[Date]],"yyyy-mm")</f>
        <v>2023-04</v>
      </c>
      <c r="K739">
        <f>YEAR(SalesData[[#This Row],[Date]])</f>
        <v>2023</v>
      </c>
      <c r="L739" t="str">
        <f>"Q"&amp;ROUNDUP(MONTH(SalesData[[#This Row],[Date]])/3,0)</f>
        <v>Q2</v>
      </c>
      <c r="M739" s="1" t="d">
        <f>DATE(YEAR(SalesData[[#This Row],[Date]]),MONTH(SalesData[[#This Row],[Date]]),1)</f>
        <v>2023-04-01</v>
      </c>
      <c r="N7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40" spans="1:14">
      <c r="A740">
        <v>739</v>
      </c>
      <c r="B740" s="1" t="d">
        <v>2023-11-29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t="str">
        <f>TEXT(SalesData[[#This Row],[Date]],"yyyy-mm")</f>
        <v>2023-11</v>
      </c>
      <c r="K740">
        <f>YEAR(SalesData[[#This Row],[Date]])</f>
        <v>2023</v>
      </c>
      <c r="L740" t="str">
        <f>"Q"&amp;ROUNDUP(MONTH(SalesData[[#This Row],[Date]])/3,0)</f>
        <v>Q4</v>
      </c>
      <c r="M740" s="1" t="d">
        <f>DATE(YEAR(SalesData[[#This Row],[Date]]),MONTH(SalesData[[#This Row],[Date]]),1)</f>
        <v>2023-11-01</v>
      </c>
      <c r="N74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41" spans="1:14">
      <c r="A741">
        <v>740</v>
      </c>
      <c r="B741" s="1" t="d">
        <v>2023-02-05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t="str">
        <f>TEXT(SalesData[[#This Row],[Date]],"yyyy-mm")</f>
        <v>2023-02</v>
      </c>
      <c r="K741">
        <f>YEAR(SalesData[[#This Row],[Date]])</f>
        <v>2023</v>
      </c>
      <c r="L741" t="str">
        <f>"Q"&amp;ROUNDUP(MONTH(SalesData[[#This Row],[Date]])/3,0)</f>
        <v>Q1</v>
      </c>
      <c r="M741" s="1" t="d">
        <f>DATE(YEAR(SalesData[[#This Row],[Date]]),MONTH(SalesData[[#This Row],[Date]]),1)</f>
        <v>2023-02-01</v>
      </c>
      <c r="N74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42" spans="1:14">
      <c r="A742">
        <v>741</v>
      </c>
      <c r="B742" s="1" t="d">
        <v>2023-11-30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t="str">
        <f>TEXT(SalesData[[#This Row],[Date]],"yyyy-mm")</f>
        <v>2023-11</v>
      </c>
      <c r="K742">
        <f>YEAR(SalesData[[#This Row],[Date]])</f>
        <v>2023</v>
      </c>
      <c r="L742" t="str">
        <f>"Q"&amp;ROUNDUP(MONTH(SalesData[[#This Row],[Date]])/3,0)</f>
        <v>Q4</v>
      </c>
      <c r="M742" s="1" t="d">
        <f>DATE(YEAR(SalesData[[#This Row],[Date]]),MONTH(SalesData[[#This Row],[Date]]),1)</f>
        <v>2023-11-01</v>
      </c>
      <c r="N74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43" spans="1:14">
      <c r="A743">
        <v>742</v>
      </c>
      <c r="B743" s="1" t="d">
        <v>2023-01-21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t="str">
        <f>TEXT(SalesData[[#This Row],[Date]],"yyyy-mm")</f>
        <v>2023-01</v>
      </c>
      <c r="K743">
        <f>YEAR(SalesData[[#This Row],[Date]])</f>
        <v>2023</v>
      </c>
      <c r="L743" t="str">
        <f>"Q"&amp;ROUNDUP(MONTH(SalesData[[#This Row],[Date]])/3,0)</f>
        <v>Q1</v>
      </c>
      <c r="M743" s="1" t="d">
        <f>DATE(YEAR(SalesData[[#This Row],[Date]]),MONTH(SalesData[[#This Row],[Date]]),1)</f>
        <v>2023-01-01</v>
      </c>
      <c r="N743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44" spans="1:14">
      <c r="A744">
        <v>743</v>
      </c>
      <c r="B744" s="1" t="d">
        <v>2023-01-16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t="str">
        <f>TEXT(SalesData[[#This Row],[Date]],"yyyy-mm")</f>
        <v>2023-01</v>
      </c>
      <c r="K744">
        <f>YEAR(SalesData[[#This Row],[Date]])</f>
        <v>2023</v>
      </c>
      <c r="L744" t="str">
        <f>"Q"&amp;ROUNDUP(MONTH(SalesData[[#This Row],[Date]])/3,0)</f>
        <v>Q1</v>
      </c>
      <c r="M744" s="1" t="d">
        <f>DATE(YEAR(SalesData[[#This Row],[Date]]),MONTH(SalesData[[#This Row],[Date]]),1)</f>
        <v>2023-01-01</v>
      </c>
      <c r="N74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45" spans="1:14">
      <c r="A745">
        <v>744</v>
      </c>
      <c r="B745" s="1" t="d">
        <v>2023-05-07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t="str">
        <f>TEXT(SalesData[[#This Row],[Date]],"yyyy-mm")</f>
        <v>2023-05</v>
      </c>
      <c r="K745">
        <f>YEAR(SalesData[[#This Row],[Date]])</f>
        <v>2023</v>
      </c>
      <c r="L745" t="str">
        <f>"Q"&amp;ROUNDUP(MONTH(SalesData[[#This Row],[Date]])/3,0)</f>
        <v>Q2</v>
      </c>
      <c r="M745" s="1" t="d">
        <f>DATE(YEAR(SalesData[[#This Row],[Date]]),MONTH(SalesData[[#This Row],[Date]]),1)</f>
        <v>2023-05-01</v>
      </c>
      <c r="N74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46" spans="1:14">
      <c r="A746">
        <v>745</v>
      </c>
      <c r="B746" s="1" t="d">
        <v>2023-04-13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t="str">
        <f>TEXT(SalesData[[#This Row],[Date]],"yyyy-mm")</f>
        <v>2023-04</v>
      </c>
      <c r="K746">
        <f>YEAR(SalesData[[#This Row],[Date]])</f>
        <v>2023</v>
      </c>
      <c r="L746" t="str">
        <f>"Q"&amp;ROUNDUP(MONTH(SalesData[[#This Row],[Date]])/3,0)</f>
        <v>Q2</v>
      </c>
      <c r="M746" s="1" t="d">
        <f>DATE(YEAR(SalesData[[#This Row],[Date]]),MONTH(SalesData[[#This Row],[Date]]),1)</f>
        <v>2023-04-01</v>
      </c>
      <c r="N74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47" spans="1:14">
      <c r="A747">
        <v>746</v>
      </c>
      <c r="B747" s="1" t="d">
        <v>2023-01-11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t="str">
        <f>TEXT(SalesData[[#This Row],[Date]],"yyyy-mm")</f>
        <v>2023-01</v>
      </c>
      <c r="K747">
        <f>YEAR(SalesData[[#This Row],[Date]])</f>
        <v>2023</v>
      </c>
      <c r="L747" t="str">
        <f>"Q"&amp;ROUNDUP(MONTH(SalesData[[#This Row],[Date]])/3,0)</f>
        <v>Q1</v>
      </c>
      <c r="M747" s="1" t="d">
        <f>DATE(YEAR(SalesData[[#This Row],[Date]]),MONTH(SalesData[[#This Row],[Date]]),1)</f>
        <v>2023-01-01</v>
      </c>
      <c r="N74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48" spans="1:14">
      <c r="A748">
        <v>747</v>
      </c>
      <c r="B748" s="1" t="d">
        <v>2023-11-15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t="str">
        <f>TEXT(SalesData[[#This Row],[Date]],"yyyy-mm")</f>
        <v>2023-11</v>
      </c>
      <c r="K748">
        <f>YEAR(SalesData[[#This Row],[Date]])</f>
        <v>2023</v>
      </c>
      <c r="L748" t="str">
        <f>"Q"&amp;ROUNDUP(MONTH(SalesData[[#This Row],[Date]])/3,0)</f>
        <v>Q4</v>
      </c>
      <c r="M748" s="1" t="d">
        <f>DATE(YEAR(SalesData[[#This Row],[Date]]),MONTH(SalesData[[#This Row],[Date]]),1)</f>
        <v>2023-11-01</v>
      </c>
      <c r="N74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49" spans="1:14">
      <c r="A749">
        <v>748</v>
      </c>
      <c r="B749" s="1" t="d">
        <v>2023-03-20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t="str">
        <f>TEXT(SalesData[[#This Row],[Date]],"yyyy-mm")</f>
        <v>2023-03</v>
      </c>
      <c r="K749">
        <f>YEAR(SalesData[[#This Row],[Date]])</f>
        <v>2023</v>
      </c>
      <c r="L749" t="str">
        <f>"Q"&amp;ROUNDUP(MONTH(SalesData[[#This Row],[Date]])/3,0)</f>
        <v>Q1</v>
      </c>
      <c r="M749" s="1" t="d">
        <f>DATE(YEAR(SalesData[[#This Row],[Date]]),MONTH(SalesData[[#This Row],[Date]]),1)</f>
        <v>2023-03-01</v>
      </c>
      <c r="N74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50" spans="1:14">
      <c r="A750">
        <v>749</v>
      </c>
      <c r="B750" s="1" t="d">
        <v>2023-05-03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t="str">
        <f>TEXT(SalesData[[#This Row],[Date]],"yyyy-mm")</f>
        <v>2023-05</v>
      </c>
      <c r="K750">
        <f>YEAR(SalesData[[#This Row],[Date]])</f>
        <v>2023</v>
      </c>
      <c r="L750" t="str">
        <f>"Q"&amp;ROUNDUP(MONTH(SalesData[[#This Row],[Date]])/3,0)</f>
        <v>Q2</v>
      </c>
      <c r="M750" s="1" t="d">
        <f>DATE(YEAR(SalesData[[#This Row],[Date]]),MONTH(SalesData[[#This Row],[Date]]),1)</f>
        <v>2023-05-01</v>
      </c>
      <c r="N75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51" spans="1:14">
      <c r="A751">
        <v>750</v>
      </c>
      <c r="B751" s="1" t="d">
        <v>2023-03-06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t="str">
        <f>TEXT(SalesData[[#This Row],[Date]],"yyyy-mm")</f>
        <v>2023-03</v>
      </c>
      <c r="K751">
        <f>YEAR(SalesData[[#This Row],[Date]])</f>
        <v>2023</v>
      </c>
      <c r="L751" t="str">
        <f>"Q"&amp;ROUNDUP(MONTH(SalesData[[#This Row],[Date]])/3,0)</f>
        <v>Q1</v>
      </c>
      <c r="M751" s="1" t="d">
        <f>DATE(YEAR(SalesData[[#This Row],[Date]]),MONTH(SalesData[[#This Row],[Date]]),1)</f>
        <v>2023-03-01</v>
      </c>
      <c r="N75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52" spans="1:14">
      <c r="A752">
        <v>751</v>
      </c>
      <c r="B752" s="1" t="d">
        <v>2023-08-31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t="str">
        <f>TEXT(SalesData[[#This Row],[Date]],"yyyy-mm")</f>
        <v>2023-08</v>
      </c>
      <c r="K752">
        <f>YEAR(SalesData[[#This Row],[Date]])</f>
        <v>2023</v>
      </c>
      <c r="L752" t="str">
        <f>"Q"&amp;ROUNDUP(MONTH(SalesData[[#This Row],[Date]])/3,0)</f>
        <v>Q3</v>
      </c>
      <c r="M752" s="1" t="d">
        <f>DATE(YEAR(SalesData[[#This Row],[Date]]),MONTH(SalesData[[#This Row],[Date]]),1)</f>
        <v>2023-08-01</v>
      </c>
      <c r="N75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53" spans="1:14">
      <c r="A753">
        <v>752</v>
      </c>
      <c r="B753" s="1" t="d">
        <v>2023-12-09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t="str">
        <f>TEXT(SalesData[[#This Row],[Date]],"yyyy-mm")</f>
        <v>2023-12</v>
      </c>
      <c r="K753">
        <f>YEAR(SalesData[[#This Row],[Date]])</f>
        <v>2023</v>
      </c>
      <c r="L753" t="str">
        <f>"Q"&amp;ROUNDUP(MONTH(SalesData[[#This Row],[Date]])/3,0)</f>
        <v>Q4</v>
      </c>
      <c r="M753" s="1" t="d">
        <f>DATE(YEAR(SalesData[[#This Row],[Date]]),MONTH(SalesData[[#This Row],[Date]]),1)</f>
        <v>2023-12-01</v>
      </c>
      <c r="N75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54" spans="1:14">
      <c r="A754">
        <v>753</v>
      </c>
      <c r="B754" s="1" t="d">
        <v>2023-02-28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t="str">
        <f>TEXT(SalesData[[#This Row],[Date]],"yyyy-mm")</f>
        <v>2023-02</v>
      </c>
      <c r="K754">
        <f>YEAR(SalesData[[#This Row],[Date]])</f>
        <v>2023</v>
      </c>
      <c r="L754" t="str">
        <f>"Q"&amp;ROUNDUP(MONTH(SalesData[[#This Row],[Date]])/3,0)</f>
        <v>Q1</v>
      </c>
      <c r="M754" s="1" t="d">
        <f>DATE(YEAR(SalesData[[#This Row],[Date]]),MONTH(SalesData[[#This Row],[Date]]),1)</f>
        <v>2023-02-01</v>
      </c>
      <c r="N75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55" spans="1:14">
      <c r="A755">
        <v>754</v>
      </c>
      <c r="B755" s="1" t="d">
        <v>2023-10-16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t="str">
        <f>TEXT(SalesData[[#This Row],[Date]],"yyyy-mm")</f>
        <v>2023-10</v>
      </c>
      <c r="K755">
        <f>YEAR(SalesData[[#This Row],[Date]])</f>
        <v>2023</v>
      </c>
      <c r="L755" t="str">
        <f>"Q"&amp;ROUNDUP(MONTH(SalesData[[#This Row],[Date]])/3,0)</f>
        <v>Q4</v>
      </c>
      <c r="M755" s="1" t="d">
        <f>DATE(YEAR(SalesData[[#This Row],[Date]]),MONTH(SalesData[[#This Row],[Date]]),1)</f>
        <v>2023-10-01</v>
      </c>
      <c r="N75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56" spans="1:14">
      <c r="A756">
        <v>755</v>
      </c>
      <c r="B756" s="1" t="d">
        <v>2023-04-22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t="str">
        <f>TEXT(SalesData[[#This Row],[Date]],"yyyy-mm")</f>
        <v>2023-04</v>
      </c>
      <c r="K756">
        <f>YEAR(SalesData[[#This Row],[Date]])</f>
        <v>2023</v>
      </c>
      <c r="L756" t="str">
        <f>"Q"&amp;ROUNDUP(MONTH(SalesData[[#This Row],[Date]])/3,0)</f>
        <v>Q2</v>
      </c>
      <c r="M756" s="1" t="d">
        <f>DATE(YEAR(SalesData[[#This Row],[Date]]),MONTH(SalesData[[#This Row],[Date]]),1)</f>
        <v>2023-04-01</v>
      </c>
      <c r="N75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57" spans="1:14">
      <c r="A757">
        <v>756</v>
      </c>
      <c r="B757" s="1" t="d">
        <v>2023-08-27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t="str">
        <f>TEXT(SalesData[[#This Row],[Date]],"yyyy-mm")</f>
        <v>2023-08</v>
      </c>
      <c r="K757">
        <f>YEAR(SalesData[[#This Row],[Date]])</f>
        <v>2023</v>
      </c>
      <c r="L757" t="str">
        <f>"Q"&amp;ROUNDUP(MONTH(SalesData[[#This Row],[Date]])/3,0)</f>
        <v>Q3</v>
      </c>
      <c r="M757" s="1" t="d">
        <f>DATE(YEAR(SalesData[[#This Row],[Date]]),MONTH(SalesData[[#This Row],[Date]]),1)</f>
        <v>2023-08-01</v>
      </c>
      <c r="N75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58" spans="1:14">
      <c r="A758">
        <v>757</v>
      </c>
      <c r="B758" s="1" t="d">
        <v>2023-12-25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t="str">
        <f>TEXT(SalesData[[#This Row],[Date]],"yyyy-mm")</f>
        <v>2023-12</v>
      </c>
      <c r="K758">
        <f>YEAR(SalesData[[#This Row],[Date]])</f>
        <v>2023</v>
      </c>
      <c r="L758" t="str">
        <f>"Q"&amp;ROUNDUP(MONTH(SalesData[[#This Row],[Date]])/3,0)</f>
        <v>Q4</v>
      </c>
      <c r="M758" s="1" t="d">
        <f>DATE(YEAR(SalesData[[#This Row],[Date]]),MONTH(SalesData[[#This Row],[Date]]),1)</f>
        <v>2023-12-01</v>
      </c>
      <c r="N75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59" spans="1:14">
      <c r="A759">
        <v>758</v>
      </c>
      <c r="B759" s="1" t="d">
        <v>2023-05-12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t="str">
        <f>TEXT(SalesData[[#This Row],[Date]],"yyyy-mm")</f>
        <v>2023-05</v>
      </c>
      <c r="K759">
        <f>YEAR(SalesData[[#This Row],[Date]])</f>
        <v>2023</v>
      </c>
      <c r="L759" t="str">
        <f>"Q"&amp;ROUNDUP(MONTH(SalesData[[#This Row],[Date]])/3,0)</f>
        <v>Q2</v>
      </c>
      <c r="M759" s="1" t="d">
        <f>DATE(YEAR(SalesData[[#This Row],[Date]]),MONTH(SalesData[[#This Row],[Date]]),1)</f>
        <v>2023-05-01</v>
      </c>
      <c r="N75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60" spans="1:14">
      <c r="A760">
        <v>759</v>
      </c>
      <c r="B760" s="1" t="d">
        <v>2023-07-08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t="str">
        <f>TEXT(SalesData[[#This Row],[Date]],"yyyy-mm")</f>
        <v>2023-07</v>
      </c>
      <c r="K760">
        <f>YEAR(SalesData[[#This Row],[Date]])</f>
        <v>2023</v>
      </c>
      <c r="L760" t="str">
        <f>"Q"&amp;ROUNDUP(MONTH(SalesData[[#This Row],[Date]])/3,0)</f>
        <v>Q3</v>
      </c>
      <c r="M760" s="1" t="d">
        <f>DATE(YEAR(SalesData[[#This Row],[Date]]),MONTH(SalesData[[#This Row],[Date]]),1)</f>
        <v>2023-07-01</v>
      </c>
      <c r="N76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61" spans="1:14">
      <c r="A761">
        <v>760</v>
      </c>
      <c r="B761" s="1" t="d">
        <v>2023-03-27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t="str">
        <f>TEXT(SalesData[[#This Row],[Date]],"yyyy-mm")</f>
        <v>2023-03</v>
      </c>
      <c r="K761">
        <f>YEAR(SalesData[[#This Row],[Date]])</f>
        <v>2023</v>
      </c>
      <c r="L761" t="str">
        <f>"Q"&amp;ROUNDUP(MONTH(SalesData[[#This Row],[Date]])/3,0)</f>
        <v>Q1</v>
      </c>
      <c r="M761" s="1" t="d">
        <f>DATE(YEAR(SalesData[[#This Row],[Date]]),MONTH(SalesData[[#This Row],[Date]]),1)</f>
        <v>2023-03-01</v>
      </c>
      <c r="N76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62" spans="1:14">
      <c r="A762">
        <v>761</v>
      </c>
      <c r="B762" s="1" t="d">
        <v>2023-11-07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t="str">
        <f>TEXT(SalesData[[#This Row],[Date]],"yyyy-mm")</f>
        <v>2023-11</v>
      </c>
      <c r="K762">
        <f>YEAR(SalesData[[#This Row],[Date]])</f>
        <v>2023</v>
      </c>
      <c r="L762" t="str">
        <f>"Q"&amp;ROUNDUP(MONTH(SalesData[[#This Row],[Date]])/3,0)</f>
        <v>Q4</v>
      </c>
      <c r="M762" s="1" t="d">
        <f>DATE(YEAR(SalesData[[#This Row],[Date]]),MONTH(SalesData[[#This Row],[Date]]),1)</f>
        <v>2023-11-01</v>
      </c>
      <c r="N76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63" spans="1:14">
      <c r="A763">
        <v>762</v>
      </c>
      <c r="B763" s="1" t="d">
        <v>2023-11-07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t="str">
        <f>TEXT(SalesData[[#This Row],[Date]],"yyyy-mm")</f>
        <v>2023-11</v>
      </c>
      <c r="K763">
        <f>YEAR(SalesData[[#This Row],[Date]])</f>
        <v>2023</v>
      </c>
      <c r="L763" t="str">
        <f>"Q"&amp;ROUNDUP(MONTH(SalesData[[#This Row],[Date]])/3,0)</f>
        <v>Q4</v>
      </c>
      <c r="M763" s="1" t="d">
        <f>DATE(YEAR(SalesData[[#This Row],[Date]]),MONTH(SalesData[[#This Row],[Date]]),1)</f>
        <v>2023-11-01</v>
      </c>
      <c r="N76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64" spans="1:14">
      <c r="A764">
        <v>763</v>
      </c>
      <c r="B764" s="1" t="d">
        <v>2023-02-28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t="str">
        <f>TEXT(SalesData[[#This Row],[Date]],"yyyy-mm")</f>
        <v>2023-02</v>
      </c>
      <c r="K764">
        <f>YEAR(SalesData[[#This Row],[Date]])</f>
        <v>2023</v>
      </c>
      <c r="L764" t="str">
        <f>"Q"&amp;ROUNDUP(MONTH(SalesData[[#This Row],[Date]])/3,0)</f>
        <v>Q1</v>
      </c>
      <c r="M764" s="1" t="d">
        <f>DATE(YEAR(SalesData[[#This Row],[Date]]),MONTH(SalesData[[#This Row],[Date]]),1)</f>
        <v>2023-02-01</v>
      </c>
      <c r="N76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65" spans="1:14">
      <c r="A765">
        <v>764</v>
      </c>
      <c r="B765" s="1" t="d">
        <v>2023-03-25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t="str">
        <f>TEXT(SalesData[[#This Row],[Date]],"yyyy-mm")</f>
        <v>2023-03</v>
      </c>
      <c r="K765">
        <f>YEAR(SalesData[[#This Row],[Date]])</f>
        <v>2023</v>
      </c>
      <c r="L765" t="str">
        <f>"Q"&amp;ROUNDUP(MONTH(SalesData[[#This Row],[Date]])/3,0)</f>
        <v>Q1</v>
      </c>
      <c r="M765" s="1" t="d">
        <f>DATE(YEAR(SalesData[[#This Row],[Date]]),MONTH(SalesData[[#This Row],[Date]]),1)</f>
        <v>2023-03-01</v>
      </c>
      <c r="N76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66" spans="1:14">
      <c r="A766">
        <v>765</v>
      </c>
      <c r="B766" s="1" t="d">
        <v>2023-06-09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t="str">
        <f>TEXT(SalesData[[#This Row],[Date]],"yyyy-mm")</f>
        <v>2023-06</v>
      </c>
      <c r="K766">
        <f>YEAR(SalesData[[#This Row],[Date]])</f>
        <v>2023</v>
      </c>
      <c r="L766" t="str">
        <f>"Q"&amp;ROUNDUP(MONTH(SalesData[[#This Row],[Date]])/3,0)</f>
        <v>Q2</v>
      </c>
      <c r="M766" s="1" t="d">
        <f>DATE(YEAR(SalesData[[#This Row],[Date]]),MONTH(SalesData[[#This Row],[Date]]),1)</f>
        <v>2023-06-01</v>
      </c>
      <c r="N76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67" spans="1:14">
      <c r="A767">
        <v>766</v>
      </c>
      <c r="B767" s="1" t="d">
        <v>2023-02-25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t="str">
        <f>TEXT(SalesData[[#This Row],[Date]],"yyyy-mm")</f>
        <v>2023-02</v>
      </c>
      <c r="K767">
        <f>YEAR(SalesData[[#This Row],[Date]])</f>
        <v>2023</v>
      </c>
      <c r="L767" t="str">
        <f>"Q"&amp;ROUNDUP(MONTH(SalesData[[#This Row],[Date]])/3,0)</f>
        <v>Q1</v>
      </c>
      <c r="M767" s="1" t="d">
        <f>DATE(YEAR(SalesData[[#This Row],[Date]]),MONTH(SalesData[[#This Row],[Date]]),1)</f>
        <v>2023-02-01</v>
      </c>
      <c r="N76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68" spans="1:14">
      <c r="A768">
        <v>767</v>
      </c>
      <c r="B768" s="1" t="d">
        <v>2023-10-24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t="str">
        <f>TEXT(SalesData[[#This Row],[Date]],"yyyy-mm")</f>
        <v>2023-10</v>
      </c>
      <c r="K768">
        <f>YEAR(SalesData[[#This Row],[Date]])</f>
        <v>2023</v>
      </c>
      <c r="L768" t="str">
        <f>"Q"&amp;ROUNDUP(MONTH(SalesData[[#This Row],[Date]])/3,0)</f>
        <v>Q4</v>
      </c>
      <c r="M768" s="1" t="d">
        <f>DATE(YEAR(SalesData[[#This Row],[Date]]),MONTH(SalesData[[#This Row],[Date]]),1)</f>
        <v>2023-10-01</v>
      </c>
      <c r="N76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69" spans="1:14">
      <c r="A769">
        <v>768</v>
      </c>
      <c r="B769" s="1" t="d">
        <v>2023-01-14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t="str">
        <f>TEXT(SalesData[[#This Row],[Date]],"yyyy-mm")</f>
        <v>2023-01</v>
      </c>
      <c r="K769">
        <f>YEAR(SalesData[[#This Row],[Date]])</f>
        <v>2023</v>
      </c>
      <c r="L769" t="str">
        <f>"Q"&amp;ROUNDUP(MONTH(SalesData[[#This Row],[Date]])/3,0)</f>
        <v>Q1</v>
      </c>
      <c r="M769" s="1" t="d">
        <f>DATE(YEAR(SalesData[[#This Row],[Date]]),MONTH(SalesData[[#This Row],[Date]]),1)</f>
        <v>2023-01-01</v>
      </c>
      <c r="N76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70" spans="1:14">
      <c r="A770">
        <v>769</v>
      </c>
      <c r="B770" s="1" t="d">
        <v>2023-06-09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t="str">
        <f>TEXT(SalesData[[#This Row],[Date]],"yyyy-mm")</f>
        <v>2023-06</v>
      </c>
      <c r="K770">
        <f>YEAR(SalesData[[#This Row],[Date]])</f>
        <v>2023</v>
      </c>
      <c r="L770" t="str">
        <f>"Q"&amp;ROUNDUP(MONTH(SalesData[[#This Row],[Date]])/3,0)</f>
        <v>Q2</v>
      </c>
      <c r="M770" s="1" t="d">
        <f>DATE(YEAR(SalesData[[#This Row],[Date]]),MONTH(SalesData[[#This Row],[Date]]),1)</f>
        <v>2023-06-01</v>
      </c>
      <c r="N77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71" spans="1:14">
      <c r="A771">
        <v>770</v>
      </c>
      <c r="B771" s="1" t="d">
        <v>2023-10-22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t="str">
        <f>TEXT(SalesData[[#This Row],[Date]],"yyyy-mm")</f>
        <v>2023-10</v>
      </c>
      <c r="K771">
        <f>YEAR(SalesData[[#This Row],[Date]])</f>
        <v>2023</v>
      </c>
      <c r="L771" t="str">
        <f>"Q"&amp;ROUNDUP(MONTH(SalesData[[#This Row],[Date]])/3,0)</f>
        <v>Q4</v>
      </c>
      <c r="M771" s="1" t="d">
        <f>DATE(YEAR(SalesData[[#This Row],[Date]]),MONTH(SalesData[[#This Row],[Date]]),1)</f>
        <v>2023-10-01</v>
      </c>
      <c r="N77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72" spans="1:14">
      <c r="A772">
        <v>771</v>
      </c>
      <c r="B772" s="1" t="d">
        <v>2023-12-13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t="str">
        <f>TEXT(SalesData[[#This Row],[Date]],"yyyy-mm")</f>
        <v>2023-12</v>
      </c>
      <c r="K772">
        <f>YEAR(SalesData[[#This Row],[Date]])</f>
        <v>2023</v>
      </c>
      <c r="L772" t="str">
        <f>"Q"&amp;ROUNDUP(MONTH(SalesData[[#This Row],[Date]])/3,0)</f>
        <v>Q4</v>
      </c>
      <c r="M772" s="1" t="d">
        <f>DATE(YEAR(SalesData[[#This Row],[Date]]),MONTH(SalesData[[#This Row],[Date]]),1)</f>
        <v>2023-12-01</v>
      </c>
      <c r="N77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73" spans="1:14">
      <c r="A773">
        <v>772</v>
      </c>
      <c r="B773" s="1" t="d">
        <v>2023-07-12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t="str">
        <f>TEXT(SalesData[[#This Row],[Date]],"yyyy-mm")</f>
        <v>2023-07</v>
      </c>
      <c r="K773">
        <f>YEAR(SalesData[[#This Row],[Date]])</f>
        <v>2023</v>
      </c>
      <c r="L773" t="str">
        <f>"Q"&amp;ROUNDUP(MONTH(SalesData[[#This Row],[Date]])/3,0)</f>
        <v>Q3</v>
      </c>
      <c r="M773" s="1" t="d">
        <f>DATE(YEAR(SalesData[[#This Row],[Date]]),MONTH(SalesData[[#This Row],[Date]]),1)</f>
        <v>2023-07-01</v>
      </c>
      <c r="N77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74" spans="1:14">
      <c r="A774">
        <v>773</v>
      </c>
      <c r="B774" s="1" t="d">
        <v>2023-07-23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t="str">
        <f>TEXT(SalesData[[#This Row],[Date]],"yyyy-mm")</f>
        <v>2023-07</v>
      </c>
      <c r="K774">
        <f>YEAR(SalesData[[#This Row],[Date]])</f>
        <v>2023</v>
      </c>
      <c r="L774" t="str">
        <f>"Q"&amp;ROUNDUP(MONTH(SalesData[[#This Row],[Date]])/3,0)</f>
        <v>Q3</v>
      </c>
      <c r="M774" s="1" t="d">
        <f>DATE(YEAR(SalesData[[#This Row],[Date]]),MONTH(SalesData[[#This Row],[Date]]),1)</f>
        <v>2023-07-01</v>
      </c>
      <c r="N77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75" spans="1:14">
      <c r="A775">
        <v>774</v>
      </c>
      <c r="B775" s="1" t="d">
        <v>2023-04-12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t="str">
        <f>TEXT(SalesData[[#This Row],[Date]],"yyyy-mm")</f>
        <v>2023-04</v>
      </c>
      <c r="K775">
        <f>YEAR(SalesData[[#This Row],[Date]])</f>
        <v>2023</v>
      </c>
      <c r="L775" t="str">
        <f>"Q"&amp;ROUNDUP(MONTH(SalesData[[#This Row],[Date]])/3,0)</f>
        <v>Q2</v>
      </c>
      <c r="M775" s="1" t="d">
        <f>DATE(YEAR(SalesData[[#This Row],[Date]]),MONTH(SalesData[[#This Row],[Date]]),1)</f>
        <v>2023-04-01</v>
      </c>
      <c r="N77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76" spans="1:14">
      <c r="A776">
        <v>775</v>
      </c>
      <c r="B776" s="1" t="d">
        <v>2023-02-08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t="str">
        <f>TEXT(SalesData[[#This Row],[Date]],"yyyy-mm")</f>
        <v>2023-02</v>
      </c>
      <c r="K776">
        <f>YEAR(SalesData[[#This Row],[Date]])</f>
        <v>2023</v>
      </c>
      <c r="L776" t="str">
        <f>"Q"&amp;ROUNDUP(MONTH(SalesData[[#This Row],[Date]])/3,0)</f>
        <v>Q1</v>
      </c>
      <c r="M776" s="1" t="d">
        <f>DATE(YEAR(SalesData[[#This Row],[Date]]),MONTH(SalesData[[#This Row],[Date]]),1)</f>
        <v>2023-02-01</v>
      </c>
      <c r="N77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77" spans="1:14">
      <c r="A777">
        <v>776</v>
      </c>
      <c r="B777" s="1" t="d">
        <v>2023-10-31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t="str">
        <f>TEXT(SalesData[[#This Row],[Date]],"yyyy-mm")</f>
        <v>2023-10</v>
      </c>
      <c r="K777">
        <f>YEAR(SalesData[[#This Row],[Date]])</f>
        <v>2023</v>
      </c>
      <c r="L777" t="str">
        <f>"Q"&amp;ROUNDUP(MONTH(SalesData[[#This Row],[Date]])/3,0)</f>
        <v>Q4</v>
      </c>
      <c r="M777" s="1" t="d">
        <f>DATE(YEAR(SalesData[[#This Row],[Date]]),MONTH(SalesData[[#This Row],[Date]]),1)</f>
        <v>2023-10-01</v>
      </c>
      <c r="N77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78" spans="1:14">
      <c r="A778">
        <v>777</v>
      </c>
      <c r="B778" s="1" t="d">
        <v>2023-12-20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t="str">
        <f>TEXT(SalesData[[#This Row],[Date]],"yyyy-mm")</f>
        <v>2023-12</v>
      </c>
      <c r="K778">
        <f>YEAR(SalesData[[#This Row],[Date]])</f>
        <v>2023</v>
      </c>
      <c r="L778" t="str">
        <f>"Q"&amp;ROUNDUP(MONTH(SalesData[[#This Row],[Date]])/3,0)</f>
        <v>Q4</v>
      </c>
      <c r="M778" s="1" t="d">
        <f>DATE(YEAR(SalesData[[#This Row],[Date]]),MONTH(SalesData[[#This Row],[Date]]),1)</f>
        <v>2023-12-01</v>
      </c>
      <c r="N77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79" spans="1:14">
      <c r="A779">
        <v>778</v>
      </c>
      <c r="B779" s="1" t="d">
        <v>2023-11-18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t="str">
        <f>TEXT(SalesData[[#This Row],[Date]],"yyyy-mm")</f>
        <v>2023-11</v>
      </c>
      <c r="K779">
        <f>YEAR(SalesData[[#This Row],[Date]])</f>
        <v>2023</v>
      </c>
      <c r="L779" t="str">
        <f>"Q"&amp;ROUNDUP(MONTH(SalesData[[#This Row],[Date]])/3,0)</f>
        <v>Q4</v>
      </c>
      <c r="M779" s="1" t="d">
        <f>DATE(YEAR(SalesData[[#This Row],[Date]]),MONTH(SalesData[[#This Row],[Date]]),1)</f>
        <v>2023-11-01</v>
      </c>
      <c r="N77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80" spans="1:14">
      <c r="A780">
        <v>779</v>
      </c>
      <c r="B780" s="1" t="d">
        <v>2023-05-05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t="str">
        <f>TEXT(SalesData[[#This Row],[Date]],"yyyy-mm")</f>
        <v>2023-05</v>
      </c>
      <c r="K780">
        <f>YEAR(SalesData[[#This Row],[Date]])</f>
        <v>2023</v>
      </c>
      <c r="L780" t="str">
        <f>"Q"&amp;ROUNDUP(MONTH(SalesData[[#This Row],[Date]])/3,0)</f>
        <v>Q2</v>
      </c>
      <c r="M780" s="1" t="d">
        <f>DATE(YEAR(SalesData[[#This Row],[Date]]),MONTH(SalesData[[#This Row],[Date]]),1)</f>
        <v>2023-05-01</v>
      </c>
      <c r="N78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81" spans="1:14">
      <c r="A781">
        <v>780</v>
      </c>
      <c r="B781" s="1" t="d">
        <v>2023-02-22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t="str">
        <f>TEXT(SalesData[[#This Row],[Date]],"yyyy-mm")</f>
        <v>2023-02</v>
      </c>
      <c r="K781">
        <f>YEAR(SalesData[[#This Row],[Date]])</f>
        <v>2023</v>
      </c>
      <c r="L781" t="str">
        <f>"Q"&amp;ROUNDUP(MONTH(SalesData[[#This Row],[Date]])/3,0)</f>
        <v>Q1</v>
      </c>
      <c r="M781" s="1" t="d">
        <f>DATE(YEAR(SalesData[[#This Row],[Date]]),MONTH(SalesData[[#This Row],[Date]]),1)</f>
        <v>2023-02-01</v>
      </c>
      <c r="N78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82" spans="1:14">
      <c r="A782">
        <v>781</v>
      </c>
      <c r="B782" s="1" t="d">
        <v>2023-12-23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t="str">
        <f>TEXT(SalesData[[#This Row],[Date]],"yyyy-mm")</f>
        <v>2023-12</v>
      </c>
      <c r="K782">
        <f>YEAR(SalesData[[#This Row],[Date]])</f>
        <v>2023</v>
      </c>
      <c r="L782" t="str">
        <f>"Q"&amp;ROUNDUP(MONTH(SalesData[[#This Row],[Date]])/3,0)</f>
        <v>Q4</v>
      </c>
      <c r="M782" s="1" t="d">
        <f>DATE(YEAR(SalesData[[#This Row],[Date]]),MONTH(SalesData[[#This Row],[Date]]),1)</f>
        <v>2023-12-01</v>
      </c>
      <c r="N78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83" spans="1:14">
      <c r="A783">
        <v>782</v>
      </c>
      <c r="B783" s="1" t="d">
        <v>2023-06-04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t="str">
        <f>TEXT(SalesData[[#This Row],[Date]],"yyyy-mm")</f>
        <v>2023-06</v>
      </c>
      <c r="K783">
        <f>YEAR(SalesData[[#This Row],[Date]])</f>
        <v>2023</v>
      </c>
      <c r="L783" t="str">
        <f>"Q"&amp;ROUNDUP(MONTH(SalesData[[#This Row],[Date]])/3,0)</f>
        <v>Q2</v>
      </c>
      <c r="M783" s="1" t="d">
        <f>DATE(YEAR(SalesData[[#This Row],[Date]]),MONTH(SalesData[[#This Row],[Date]]),1)</f>
        <v>2023-06-01</v>
      </c>
      <c r="N78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84" spans="1:14">
      <c r="A784">
        <v>783</v>
      </c>
      <c r="B784" s="1" t="d">
        <v>2023-12-17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t="str">
        <f>TEXT(SalesData[[#This Row],[Date]],"yyyy-mm")</f>
        <v>2023-12</v>
      </c>
      <c r="K784">
        <f>YEAR(SalesData[[#This Row],[Date]])</f>
        <v>2023</v>
      </c>
      <c r="L784" t="str">
        <f>"Q"&amp;ROUNDUP(MONTH(SalesData[[#This Row],[Date]])/3,0)</f>
        <v>Q4</v>
      </c>
      <c r="M784" s="1" t="d">
        <f>DATE(YEAR(SalesData[[#This Row],[Date]]),MONTH(SalesData[[#This Row],[Date]]),1)</f>
        <v>2023-12-01</v>
      </c>
      <c r="N78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85" spans="1:14">
      <c r="A785">
        <v>784</v>
      </c>
      <c r="B785" s="1" t="d">
        <v>2023-11-04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t="str">
        <f>TEXT(SalesData[[#This Row],[Date]],"yyyy-mm")</f>
        <v>2023-11</v>
      </c>
      <c r="K785">
        <f>YEAR(SalesData[[#This Row],[Date]])</f>
        <v>2023</v>
      </c>
      <c r="L785" t="str">
        <f>"Q"&amp;ROUNDUP(MONTH(SalesData[[#This Row],[Date]])/3,0)</f>
        <v>Q4</v>
      </c>
      <c r="M785" s="1" t="d">
        <f>DATE(YEAR(SalesData[[#This Row],[Date]]),MONTH(SalesData[[#This Row],[Date]]),1)</f>
        <v>2023-11-01</v>
      </c>
      <c r="N78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86" spans="1:14">
      <c r="A786">
        <v>785</v>
      </c>
      <c r="B786" s="1" t="d">
        <v>2023-03-03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t="str">
        <f>TEXT(SalesData[[#This Row],[Date]],"yyyy-mm")</f>
        <v>2023-03</v>
      </c>
      <c r="K786">
        <f>YEAR(SalesData[[#This Row],[Date]])</f>
        <v>2023</v>
      </c>
      <c r="L786" t="str">
        <f>"Q"&amp;ROUNDUP(MONTH(SalesData[[#This Row],[Date]])/3,0)</f>
        <v>Q1</v>
      </c>
      <c r="M786" s="1" t="d">
        <f>DATE(YEAR(SalesData[[#This Row],[Date]]),MONTH(SalesData[[#This Row],[Date]]),1)</f>
        <v>2023-03-01</v>
      </c>
      <c r="N78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787" spans="1:14">
      <c r="A787">
        <v>786</v>
      </c>
      <c r="B787" s="1" t="d">
        <v>2023-10-17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t="str">
        <f>TEXT(SalesData[[#This Row],[Date]],"yyyy-mm")</f>
        <v>2023-10</v>
      </c>
      <c r="K787">
        <f>YEAR(SalesData[[#This Row],[Date]])</f>
        <v>2023</v>
      </c>
      <c r="L787" t="str">
        <f>"Q"&amp;ROUNDUP(MONTH(SalesData[[#This Row],[Date]])/3,0)</f>
        <v>Q4</v>
      </c>
      <c r="M787" s="1" t="d">
        <f>DATE(YEAR(SalesData[[#This Row],[Date]]),MONTH(SalesData[[#This Row],[Date]]),1)</f>
        <v>2023-10-01</v>
      </c>
      <c r="N78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88" spans="1:14">
      <c r="A788">
        <v>787</v>
      </c>
      <c r="B788" s="1" t="d">
        <v>2023-01-22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t="str">
        <f>TEXT(SalesData[[#This Row],[Date]],"yyyy-mm")</f>
        <v>2023-01</v>
      </c>
      <c r="K788">
        <f>YEAR(SalesData[[#This Row],[Date]])</f>
        <v>2023</v>
      </c>
      <c r="L788" t="str">
        <f>"Q"&amp;ROUNDUP(MONTH(SalesData[[#This Row],[Date]])/3,0)</f>
        <v>Q1</v>
      </c>
      <c r="M788" s="1" t="d">
        <f>DATE(YEAR(SalesData[[#This Row],[Date]]),MONTH(SalesData[[#This Row],[Date]]),1)</f>
        <v>2023-01-01</v>
      </c>
      <c r="N78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89" spans="1:14">
      <c r="A789">
        <v>788</v>
      </c>
      <c r="B789" s="1" t="d">
        <v>2023-06-27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t="str">
        <f>TEXT(SalesData[[#This Row],[Date]],"yyyy-mm")</f>
        <v>2023-06</v>
      </c>
      <c r="K789">
        <f>YEAR(SalesData[[#This Row],[Date]])</f>
        <v>2023</v>
      </c>
      <c r="L789" t="str">
        <f>"Q"&amp;ROUNDUP(MONTH(SalesData[[#This Row],[Date]])/3,0)</f>
        <v>Q2</v>
      </c>
      <c r="M789" s="1" t="d">
        <f>DATE(YEAR(SalesData[[#This Row],[Date]]),MONTH(SalesData[[#This Row],[Date]]),1)</f>
        <v>2023-06-01</v>
      </c>
      <c r="N7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0" spans="1:14">
      <c r="A790">
        <v>789</v>
      </c>
      <c r="B790" s="1" t="d">
        <v>2023-09-30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t="str">
        <f>TEXT(SalesData[[#This Row],[Date]],"yyyy-mm")</f>
        <v>2023-09</v>
      </c>
      <c r="K790">
        <f>YEAR(SalesData[[#This Row],[Date]])</f>
        <v>2023</v>
      </c>
      <c r="L790" t="str">
        <f>"Q"&amp;ROUNDUP(MONTH(SalesData[[#This Row],[Date]])/3,0)</f>
        <v>Q3</v>
      </c>
      <c r="M790" s="1" t="d">
        <f>DATE(YEAR(SalesData[[#This Row],[Date]]),MONTH(SalesData[[#This Row],[Date]]),1)</f>
        <v>2023-09-01</v>
      </c>
      <c r="N79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1" spans="1:14">
      <c r="A791">
        <v>790</v>
      </c>
      <c r="B791" s="1" t="d">
        <v>2023-08-08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t="str">
        <f>TEXT(SalesData[[#This Row],[Date]],"yyyy-mm")</f>
        <v>2023-08</v>
      </c>
      <c r="K791">
        <f>YEAR(SalesData[[#This Row],[Date]])</f>
        <v>2023</v>
      </c>
      <c r="L791" t="str">
        <f>"Q"&amp;ROUNDUP(MONTH(SalesData[[#This Row],[Date]])/3,0)</f>
        <v>Q3</v>
      </c>
      <c r="M791" s="1" t="d">
        <f>DATE(YEAR(SalesData[[#This Row],[Date]]),MONTH(SalesData[[#This Row],[Date]]),1)</f>
        <v>2023-08-01</v>
      </c>
      <c r="N79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2" spans="1:14">
      <c r="A792">
        <v>791</v>
      </c>
      <c r="B792" s="1" t="d">
        <v>2023-12-05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t="str">
        <f>TEXT(SalesData[[#This Row],[Date]],"yyyy-mm")</f>
        <v>2023-12</v>
      </c>
      <c r="K792">
        <f>YEAR(SalesData[[#This Row],[Date]])</f>
        <v>2023</v>
      </c>
      <c r="L792" t="str">
        <f>"Q"&amp;ROUNDUP(MONTH(SalesData[[#This Row],[Date]])/3,0)</f>
        <v>Q4</v>
      </c>
      <c r="M792" s="1" t="d">
        <f>DATE(YEAR(SalesData[[#This Row],[Date]]),MONTH(SalesData[[#This Row],[Date]]),1)</f>
        <v>2023-12-01</v>
      </c>
      <c r="N79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3" spans="1:14">
      <c r="A793">
        <v>792</v>
      </c>
      <c r="B793" s="1" t="d">
        <v>2023-07-09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t="str">
        <f>TEXT(SalesData[[#This Row],[Date]],"yyyy-mm")</f>
        <v>2023-07</v>
      </c>
      <c r="K793">
        <f>YEAR(SalesData[[#This Row],[Date]])</f>
        <v>2023</v>
      </c>
      <c r="L793" t="str">
        <f>"Q"&amp;ROUNDUP(MONTH(SalesData[[#This Row],[Date]])/3,0)</f>
        <v>Q3</v>
      </c>
      <c r="M793" s="1" t="d">
        <f>DATE(YEAR(SalesData[[#This Row],[Date]]),MONTH(SalesData[[#This Row],[Date]]),1)</f>
        <v>2023-07-01</v>
      </c>
      <c r="N79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794" spans="1:14">
      <c r="A794">
        <v>793</v>
      </c>
      <c r="B794" s="1" t="d">
        <v>2023-02-05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t="str">
        <f>TEXT(SalesData[[#This Row],[Date]],"yyyy-mm")</f>
        <v>2023-02</v>
      </c>
      <c r="K794">
        <f>YEAR(SalesData[[#This Row],[Date]])</f>
        <v>2023</v>
      </c>
      <c r="L794" t="str">
        <f>"Q"&amp;ROUNDUP(MONTH(SalesData[[#This Row],[Date]])/3,0)</f>
        <v>Q1</v>
      </c>
      <c r="M794" s="1" t="d">
        <f>DATE(YEAR(SalesData[[#This Row],[Date]]),MONTH(SalesData[[#This Row],[Date]]),1)</f>
        <v>2023-02-01</v>
      </c>
      <c r="N79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5" spans="1:14">
      <c r="A795">
        <v>794</v>
      </c>
      <c r="B795" s="1" t="d">
        <v>2023-09-17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t="str">
        <f>TEXT(SalesData[[#This Row],[Date]],"yyyy-mm")</f>
        <v>2023-09</v>
      </c>
      <c r="K795">
        <f>YEAR(SalesData[[#This Row],[Date]])</f>
        <v>2023</v>
      </c>
      <c r="L795" t="str">
        <f>"Q"&amp;ROUNDUP(MONTH(SalesData[[#This Row],[Date]])/3,0)</f>
        <v>Q3</v>
      </c>
      <c r="M795" s="1" t="d">
        <f>DATE(YEAR(SalesData[[#This Row],[Date]]),MONTH(SalesData[[#This Row],[Date]]),1)</f>
        <v>2023-09-01</v>
      </c>
      <c r="N79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6" spans="1:14">
      <c r="A796">
        <v>795</v>
      </c>
      <c r="B796" s="1" t="d">
        <v>2023-11-28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t="str">
        <f>TEXT(SalesData[[#This Row],[Date]],"yyyy-mm")</f>
        <v>2023-11</v>
      </c>
      <c r="K796">
        <f>YEAR(SalesData[[#This Row],[Date]])</f>
        <v>2023</v>
      </c>
      <c r="L796" t="str">
        <f>"Q"&amp;ROUNDUP(MONTH(SalesData[[#This Row],[Date]])/3,0)</f>
        <v>Q4</v>
      </c>
      <c r="M796" s="1" t="d">
        <f>DATE(YEAR(SalesData[[#This Row],[Date]]),MONTH(SalesData[[#This Row],[Date]]),1)</f>
        <v>2023-11-01</v>
      </c>
      <c r="N79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797" spans="1:14">
      <c r="A797">
        <v>796</v>
      </c>
      <c r="B797" s="1" t="d">
        <v>2023-06-24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t="str">
        <f>TEXT(SalesData[[#This Row],[Date]],"yyyy-mm")</f>
        <v>2023-06</v>
      </c>
      <c r="K797">
        <f>YEAR(SalesData[[#This Row],[Date]])</f>
        <v>2023</v>
      </c>
      <c r="L797" t="str">
        <f>"Q"&amp;ROUNDUP(MONTH(SalesData[[#This Row],[Date]])/3,0)</f>
        <v>Q2</v>
      </c>
      <c r="M797" s="1" t="d">
        <f>DATE(YEAR(SalesData[[#This Row],[Date]]),MONTH(SalesData[[#This Row],[Date]]),1)</f>
        <v>2023-06-01</v>
      </c>
      <c r="N79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98" spans="1:14">
      <c r="A798">
        <v>797</v>
      </c>
      <c r="B798" s="1" t="d">
        <v>2023-01-07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t="str">
        <f>TEXT(SalesData[[#This Row],[Date]],"yyyy-mm")</f>
        <v>2023-01</v>
      </c>
      <c r="K798">
        <f>YEAR(SalesData[[#This Row],[Date]])</f>
        <v>2023</v>
      </c>
      <c r="L798" t="str">
        <f>"Q"&amp;ROUNDUP(MONTH(SalesData[[#This Row],[Date]])/3,0)</f>
        <v>Q1</v>
      </c>
      <c r="M798" s="1" t="d">
        <f>DATE(YEAR(SalesData[[#This Row],[Date]]),MONTH(SalesData[[#This Row],[Date]]),1)</f>
        <v>2023-01-01</v>
      </c>
      <c r="N79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799" spans="1:14">
      <c r="A799">
        <v>798</v>
      </c>
      <c r="B799" s="1" t="d">
        <v>2023-08-04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t="str">
        <f>TEXT(SalesData[[#This Row],[Date]],"yyyy-mm")</f>
        <v>2023-08</v>
      </c>
      <c r="K799">
        <f>YEAR(SalesData[[#This Row],[Date]])</f>
        <v>2023</v>
      </c>
      <c r="L799" t="str">
        <f>"Q"&amp;ROUNDUP(MONTH(SalesData[[#This Row],[Date]])/3,0)</f>
        <v>Q3</v>
      </c>
      <c r="M799" s="1" t="d">
        <f>DATE(YEAR(SalesData[[#This Row],[Date]]),MONTH(SalesData[[#This Row],[Date]]),1)</f>
        <v>2023-08-01</v>
      </c>
      <c r="N79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00" spans="1:14">
      <c r="A800">
        <v>799</v>
      </c>
      <c r="B800" s="1" t="d">
        <v>2023-09-08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t="str">
        <f>TEXT(SalesData[[#This Row],[Date]],"yyyy-mm")</f>
        <v>2023-09</v>
      </c>
      <c r="K800">
        <f>YEAR(SalesData[[#This Row],[Date]])</f>
        <v>2023</v>
      </c>
      <c r="L800" t="str">
        <f>"Q"&amp;ROUNDUP(MONTH(SalesData[[#This Row],[Date]])/3,0)</f>
        <v>Q3</v>
      </c>
      <c r="M800" s="1" t="d">
        <f>DATE(YEAR(SalesData[[#This Row],[Date]]),MONTH(SalesData[[#This Row],[Date]]),1)</f>
        <v>2023-09-01</v>
      </c>
      <c r="N80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01" spans="1:14">
      <c r="A801">
        <v>800</v>
      </c>
      <c r="B801" s="1" t="d">
        <v>2023-02-24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t="str">
        <f>TEXT(SalesData[[#This Row],[Date]],"yyyy-mm")</f>
        <v>2023-02</v>
      </c>
      <c r="K801">
        <f>YEAR(SalesData[[#This Row],[Date]])</f>
        <v>2023</v>
      </c>
      <c r="L801" t="str">
        <f>"Q"&amp;ROUNDUP(MONTH(SalesData[[#This Row],[Date]])/3,0)</f>
        <v>Q1</v>
      </c>
      <c r="M801" s="1" t="d">
        <f>DATE(YEAR(SalesData[[#This Row],[Date]]),MONTH(SalesData[[#This Row],[Date]]),1)</f>
        <v>2023-02-01</v>
      </c>
      <c r="N80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02" spans="1:14">
      <c r="A802">
        <v>801</v>
      </c>
      <c r="B802" s="1" t="d">
        <v>2023-08-10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t="str">
        <f>TEXT(SalesData[[#This Row],[Date]],"yyyy-mm")</f>
        <v>2023-08</v>
      </c>
      <c r="K802">
        <f>YEAR(SalesData[[#This Row],[Date]])</f>
        <v>2023</v>
      </c>
      <c r="L802" t="str">
        <f>"Q"&amp;ROUNDUP(MONTH(SalesData[[#This Row],[Date]])/3,0)</f>
        <v>Q3</v>
      </c>
      <c r="M802" s="1" t="d">
        <f>DATE(YEAR(SalesData[[#This Row],[Date]]),MONTH(SalesData[[#This Row],[Date]]),1)</f>
        <v>2023-08-01</v>
      </c>
      <c r="N80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03" spans="1:14">
      <c r="A803">
        <v>802</v>
      </c>
      <c r="B803" s="1" t="d">
        <v>2023-07-05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t="str">
        <f>TEXT(SalesData[[#This Row],[Date]],"yyyy-mm")</f>
        <v>2023-07</v>
      </c>
      <c r="K803">
        <f>YEAR(SalesData[[#This Row],[Date]])</f>
        <v>2023</v>
      </c>
      <c r="L803" t="str">
        <f>"Q"&amp;ROUNDUP(MONTH(SalesData[[#This Row],[Date]])/3,0)</f>
        <v>Q3</v>
      </c>
      <c r="M803" s="1" t="d">
        <f>DATE(YEAR(SalesData[[#This Row],[Date]]),MONTH(SalesData[[#This Row],[Date]]),1)</f>
        <v>2023-07-01</v>
      </c>
      <c r="N80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04" spans="1:14">
      <c r="A804">
        <v>803</v>
      </c>
      <c r="B804" s="1" t="d">
        <v>2023-11-22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t="str">
        <f>TEXT(SalesData[[#This Row],[Date]],"yyyy-mm")</f>
        <v>2023-11</v>
      </c>
      <c r="K804">
        <f>YEAR(SalesData[[#This Row],[Date]])</f>
        <v>2023</v>
      </c>
      <c r="L804" t="str">
        <f>"Q"&amp;ROUNDUP(MONTH(SalesData[[#This Row],[Date]])/3,0)</f>
        <v>Q4</v>
      </c>
      <c r="M804" s="1" t="d">
        <f>DATE(YEAR(SalesData[[#This Row],[Date]]),MONTH(SalesData[[#This Row],[Date]]),1)</f>
        <v>2023-11-01</v>
      </c>
      <c r="N80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05" spans="1:14">
      <c r="A805">
        <v>804</v>
      </c>
      <c r="B805" s="1" t="d">
        <v>2023-08-24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t="str">
        <f>TEXT(SalesData[[#This Row],[Date]],"yyyy-mm")</f>
        <v>2023-08</v>
      </c>
      <c r="K805">
        <f>YEAR(SalesData[[#This Row],[Date]])</f>
        <v>2023</v>
      </c>
      <c r="L805" t="str">
        <f>"Q"&amp;ROUNDUP(MONTH(SalesData[[#This Row],[Date]])/3,0)</f>
        <v>Q3</v>
      </c>
      <c r="M805" s="1" t="d">
        <f>DATE(YEAR(SalesData[[#This Row],[Date]]),MONTH(SalesData[[#This Row],[Date]]),1)</f>
        <v>2023-08-01</v>
      </c>
      <c r="N80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06" spans="1:14">
      <c r="A806">
        <v>805</v>
      </c>
      <c r="B806" s="1" t="d">
        <v>2023-12-29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t="str">
        <f>TEXT(SalesData[[#This Row],[Date]],"yyyy-mm")</f>
        <v>2023-12</v>
      </c>
      <c r="K806">
        <f>YEAR(SalesData[[#This Row],[Date]])</f>
        <v>2023</v>
      </c>
      <c r="L806" t="str">
        <f>"Q"&amp;ROUNDUP(MONTH(SalesData[[#This Row],[Date]])/3,0)</f>
        <v>Q4</v>
      </c>
      <c r="M806" s="1" t="d">
        <f>DATE(YEAR(SalesData[[#This Row],[Date]]),MONTH(SalesData[[#This Row],[Date]]),1)</f>
        <v>2023-12-01</v>
      </c>
      <c r="N80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07" spans="1:14">
      <c r="A807">
        <v>806</v>
      </c>
      <c r="B807" s="1" t="d">
        <v>2023-03-20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t="str">
        <f>TEXT(SalesData[[#This Row],[Date]],"yyyy-mm")</f>
        <v>2023-03</v>
      </c>
      <c r="K807">
        <f>YEAR(SalesData[[#This Row],[Date]])</f>
        <v>2023</v>
      </c>
      <c r="L807" t="str">
        <f>"Q"&amp;ROUNDUP(MONTH(SalesData[[#This Row],[Date]])/3,0)</f>
        <v>Q1</v>
      </c>
      <c r="M807" s="1" t="d">
        <f>DATE(YEAR(SalesData[[#This Row],[Date]]),MONTH(SalesData[[#This Row],[Date]]),1)</f>
        <v>2023-03-01</v>
      </c>
      <c r="N80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08" spans="1:14">
      <c r="A808">
        <v>807</v>
      </c>
      <c r="B808" s="1" t="d">
        <v>2023-08-11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t="str">
        <f>TEXT(SalesData[[#This Row],[Date]],"yyyy-mm")</f>
        <v>2023-08</v>
      </c>
      <c r="K808">
        <f>YEAR(SalesData[[#This Row],[Date]])</f>
        <v>2023</v>
      </c>
      <c r="L808" t="str">
        <f>"Q"&amp;ROUNDUP(MONTH(SalesData[[#This Row],[Date]])/3,0)</f>
        <v>Q3</v>
      </c>
      <c r="M808" s="1" t="d">
        <f>DATE(YEAR(SalesData[[#This Row],[Date]]),MONTH(SalesData[[#This Row],[Date]]),1)</f>
        <v>2023-08-01</v>
      </c>
      <c r="N80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09" spans="1:14">
      <c r="A809">
        <v>808</v>
      </c>
      <c r="B809" s="1" t="d">
        <v>2023-04-01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t="str">
        <f>TEXT(SalesData[[#This Row],[Date]],"yyyy-mm")</f>
        <v>2023-04</v>
      </c>
      <c r="K809">
        <f>YEAR(SalesData[[#This Row],[Date]])</f>
        <v>2023</v>
      </c>
      <c r="L809" t="str">
        <f>"Q"&amp;ROUNDUP(MONTH(SalesData[[#This Row],[Date]])/3,0)</f>
        <v>Q2</v>
      </c>
      <c r="M809" s="1" t="d">
        <f>DATE(YEAR(SalesData[[#This Row],[Date]]),MONTH(SalesData[[#This Row],[Date]]),1)</f>
        <v>2023-04-01</v>
      </c>
      <c r="N80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10" spans="1:14">
      <c r="A810">
        <v>809</v>
      </c>
      <c r="B810" s="1" t="d">
        <v>2023-09-25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t="str">
        <f>TEXT(SalesData[[#This Row],[Date]],"yyyy-mm")</f>
        <v>2023-09</v>
      </c>
      <c r="K810">
        <f>YEAR(SalesData[[#This Row],[Date]])</f>
        <v>2023</v>
      </c>
      <c r="L810" t="str">
        <f>"Q"&amp;ROUNDUP(MONTH(SalesData[[#This Row],[Date]])/3,0)</f>
        <v>Q3</v>
      </c>
      <c r="M810" s="1" t="d">
        <f>DATE(YEAR(SalesData[[#This Row],[Date]]),MONTH(SalesData[[#This Row],[Date]]),1)</f>
        <v>2023-09-01</v>
      </c>
      <c r="N81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1" spans="1:14">
      <c r="A811">
        <v>810</v>
      </c>
      <c r="B811" s="1" t="d">
        <v>2023-11-30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t="str">
        <f>TEXT(SalesData[[#This Row],[Date]],"yyyy-mm")</f>
        <v>2023-11</v>
      </c>
      <c r="K811">
        <f>YEAR(SalesData[[#This Row],[Date]])</f>
        <v>2023</v>
      </c>
      <c r="L811" t="str">
        <f>"Q"&amp;ROUNDUP(MONTH(SalesData[[#This Row],[Date]])/3,0)</f>
        <v>Q4</v>
      </c>
      <c r="M811" s="1" t="d">
        <f>DATE(YEAR(SalesData[[#This Row],[Date]]),MONTH(SalesData[[#This Row],[Date]]),1)</f>
        <v>2023-11-01</v>
      </c>
      <c r="N81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2" spans="1:14">
      <c r="A812">
        <v>811</v>
      </c>
      <c r="B812" s="1" t="d">
        <v>2023-05-19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t="str">
        <f>TEXT(SalesData[[#This Row],[Date]],"yyyy-mm")</f>
        <v>2023-05</v>
      </c>
      <c r="K812">
        <f>YEAR(SalesData[[#This Row],[Date]])</f>
        <v>2023</v>
      </c>
      <c r="L812" t="str">
        <f>"Q"&amp;ROUNDUP(MONTH(SalesData[[#This Row],[Date]])/3,0)</f>
        <v>Q2</v>
      </c>
      <c r="M812" s="1" t="d">
        <f>DATE(YEAR(SalesData[[#This Row],[Date]]),MONTH(SalesData[[#This Row],[Date]]),1)</f>
        <v>2023-05-01</v>
      </c>
      <c r="N81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3" spans="1:14">
      <c r="A813">
        <v>812</v>
      </c>
      <c r="B813" s="1" t="d">
        <v>2023-11-12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t="str">
        <f>TEXT(SalesData[[#This Row],[Date]],"yyyy-mm")</f>
        <v>2023-11</v>
      </c>
      <c r="K813">
        <f>YEAR(SalesData[[#This Row],[Date]])</f>
        <v>2023</v>
      </c>
      <c r="L813" t="str">
        <f>"Q"&amp;ROUNDUP(MONTH(SalesData[[#This Row],[Date]])/3,0)</f>
        <v>Q4</v>
      </c>
      <c r="M813" s="1" t="d">
        <f>DATE(YEAR(SalesData[[#This Row],[Date]]),MONTH(SalesData[[#This Row],[Date]]),1)</f>
        <v>2023-11-01</v>
      </c>
      <c r="N813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814" spans="1:14">
      <c r="A814">
        <v>813</v>
      </c>
      <c r="B814" s="1" t="d">
        <v>2023-10-03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t="str">
        <f>TEXT(SalesData[[#This Row],[Date]],"yyyy-mm")</f>
        <v>2023-10</v>
      </c>
      <c r="K814">
        <f>YEAR(SalesData[[#This Row],[Date]])</f>
        <v>2023</v>
      </c>
      <c r="L814" t="str">
        <f>"Q"&amp;ROUNDUP(MONTH(SalesData[[#This Row],[Date]])/3,0)</f>
        <v>Q4</v>
      </c>
      <c r="M814" s="1" t="d">
        <f>DATE(YEAR(SalesData[[#This Row],[Date]]),MONTH(SalesData[[#This Row],[Date]]),1)</f>
        <v>2023-10-01</v>
      </c>
      <c r="N81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5" spans="1:14">
      <c r="A815">
        <v>814</v>
      </c>
      <c r="B815" s="1" t="d">
        <v>2023-09-05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t="str">
        <f>TEXT(SalesData[[#This Row],[Date]],"yyyy-mm")</f>
        <v>2023-09</v>
      </c>
      <c r="K815">
        <f>YEAR(SalesData[[#This Row],[Date]])</f>
        <v>2023</v>
      </c>
      <c r="L815" t="str">
        <f>"Q"&amp;ROUNDUP(MONTH(SalesData[[#This Row],[Date]])/3,0)</f>
        <v>Q3</v>
      </c>
      <c r="M815" s="1" t="d">
        <f>DATE(YEAR(SalesData[[#This Row],[Date]]),MONTH(SalesData[[#This Row],[Date]]),1)</f>
        <v>2023-09-01</v>
      </c>
      <c r="N81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6" spans="1:14">
      <c r="A816">
        <v>815</v>
      </c>
      <c r="B816" s="1" t="d">
        <v>2023-08-27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t="str">
        <f>TEXT(SalesData[[#This Row],[Date]],"yyyy-mm")</f>
        <v>2023-08</v>
      </c>
      <c r="K816">
        <f>YEAR(SalesData[[#This Row],[Date]])</f>
        <v>2023</v>
      </c>
      <c r="L816" t="str">
        <f>"Q"&amp;ROUNDUP(MONTH(SalesData[[#This Row],[Date]])/3,0)</f>
        <v>Q3</v>
      </c>
      <c r="M816" s="1" t="d">
        <f>DATE(YEAR(SalesData[[#This Row],[Date]]),MONTH(SalesData[[#This Row],[Date]]),1)</f>
        <v>2023-08-01</v>
      </c>
      <c r="N81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17" spans="1:14">
      <c r="A817">
        <v>816</v>
      </c>
      <c r="B817" s="1" t="d">
        <v>2023-08-12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t="str">
        <f>TEXT(SalesData[[#This Row],[Date]],"yyyy-mm")</f>
        <v>2023-08</v>
      </c>
      <c r="K817">
        <f>YEAR(SalesData[[#This Row],[Date]])</f>
        <v>2023</v>
      </c>
      <c r="L817" t="str">
        <f>"Q"&amp;ROUNDUP(MONTH(SalesData[[#This Row],[Date]])/3,0)</f>
        <v>Q3</v>
      </c>
      <c r="M817" s="1" t="d">
        <f>DATE(YEAR(SalesData[[#This Row],[Date]]),MONTH(SalesData[[#This Row],[Date]]),1)</f>
        <v>2023-08-01</v>
      </c>
      <c r="N81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18" spans="1:14">
      <c r="A818">
        <v>817</v>
      </c>
      <c r="B818" s="1" t="d">
        <v>2023-10-31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t="str">
        <f>TEXT(SalesData[[#This Row],[Date]],"yyyy-mm")</f>
        <v>2023-10</v>
      </c>
      <c r="K818">
        <f>YEAR(SalesData[[#This Row],[Date]])</f>
        <v>2023</v>
      </c>
      <c r="L818" t="str">
        <f>"Q"&amp;ROUNDUP(MONTH(SalesData[[#This Row],[Date]])/3,0)</f>
        <v>Q4</v>
      </c>
      <c r="M818" s="1" t="d">
        <f>DATE(YEAR(SalesData[[#This Row],[Date]]),MONTH(SalesData[[#This Row],[Date]]),1)</f>
        <v>2023-10-01</v>
      </c>
      <c r="N81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19" spans="1:14">
      <c r="A819">
        <v>818</v>
      </c>
      <c r="B819" s="1" t="d">
        <v>2023-05-18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t="str">
        <f>TEXT(SalesData[[#This Row],[Date]],"yyyy-mm")</f>
        <v>2023-05</v>
      </c>
      <c r="K819">
        <f>YEAR(SalesData[[#This Row],[Date]])</f>
        <v>2023</v>
      </c>
      <c r="L819" t="str">
        <f>"Q"&amp;ROUNDUP(MONTH(SalesData[[#This Row],[Date]])/3,0)</f>
        <v>Q2</v>
      </c>
      <c r="M819" s="1" t="d">
        <f>DATE(YEAR(SalesData[[#This Row],[Date]]),MONTH(SalesData[[#This Row],[Date]]),1)</f>
        <v>2023-05-01</v>
      </c>
      <c r="N81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20" spans="1:14">
      <c r="A820">
        <v>819</v>
      </c>
      <c r="B820" s="1" t="d">
        <v>2023-06-15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t="str">
        <f>TEXT(SalesData[[#This Row],[Date]],"yyyy-mm")</f>
        <v>2023-06</v>
      </c>
      <c r="K820">
        <f>YEAR(SalesData[[#This Row],[Date]])</f>
        <v>2023</v>
      </c>
      <c r="L820" t="str">
        <f>"Q"&amp;ROUNDUP(MONTH(SalesData[[#This Row],[Date]])/3,0)</f>
        <v>Q2</v>
      </c>
      <c r="M820" s="1" t="d">
        <f>DATE(YEAR(SalesData[[#This Row],[Date]]),MONTH(SalesData[[#This Row],[Date]]),1)</f>
        <v>2023-06-01</v>
      </c>
      <c r="N82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21" spans="1:14">
      <c r="A821">
        <v>820</v>
      </c>
      <c r="B821" s="1" t="d">
        <v>2023-05-06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t="str">
        <f>TEXT(SalesData[[#This Row],[Date]],"yyyy-mm")</f>
        <v>2023-05</v>
      </c>
      <c r="K821">
        <f>YEAR(SalesData[[#This Row],[Date]])</f>
        <v>2023</v>
      </c>
      <c r="L821" t="str">
        <f>"Q"&amp;ROUNDUP(MONTH(SalesData[[#This Row],[Date]])/3,0)</f>
        <v>Q2</v>
      </c>
      <c r="M821" s="1" t="d">
        <f>DATE(YEAR(SalesData[[#This Row],[Date]]),MONTH(SalesData[[#This Row],[Date]]),1)</f>
        <v>2023-05-01</v>
      </c>
      <c r="N82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22" spans="1:14">
      <c r="A822">
        <v>821</v>
      </c>
      <c r="B822" s="1" t="d">
        <v>2023-02-14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t="str">
        <f>TEXT(SalesData[[#This Row],[Date]],"yyyy-mm")</f>
        <v>2023-02</v>
      </c>
      <c r="K822">
        <f>YEAR(SalesData[[#This Row],[Date]])</f>
        <v>2023</v>
      </c>
      <c r="L822" t="str">
        <f>"Q"&amp;ROUNDUP(MONTH(SalesData[[#This Row],[Date]])/3,0)</f>
        <v>Q1</v>
      </c>
      <c r="M822" s="1" t="d">
        <f>DATE(YEAR(SalesData[[#This Row],[Date]]),MONTH(SalesData[[#This Row],[Date]]),1)</f>
        <v>2023-02-01</v>
      </c>
      <c r="N82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23" spans="1:14">
      <c r="A823">
        <v>822</v>
      </c>
      <c r="B823" s="1" t="d">
        <v>2023-05-23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t="str">
        <f>TEXT(SalesData[[#This Row],[Date]],"yyyy-mm")</f>
        <v>2023-05</v>
      </c>
      <c r="K823">
        <f>YEAR(SalesData[[#This Row],[Date]])</f>
        <v>2023</v>
      </c>
      <c r="L823" t="str">
        <f>"Q"&amp;ROUNDUP(MONTH(SalesData[[#This Row],[Date]])/3,0)</f>
        <v>Q2</v>
      </c>
      <c r="M823" s="1" t="d">
        <f>DATE(YEAR(SalesData[[#This Row],[Date]]),MONTH(SalesData[[#This Row],[Date]]),1)</f>
        <v>2023-05-01</v>
      </c>
      <c r="N82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24" spans="1:14">
      <c r="A824">
        <v>823</v>
      </c>
      <c r="B824" s="1" t="d">
        <v>2023-08-19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t="str">
        <f>TEXT(SalesData[[#This Row],[Date]],"yyyy-mm")</f>
        <v>2023-08</v>
      </c>
      <c r="K824">
        <f>YEAR(SalesData[[#This Row],[Date]])</f>
        <v>2023</v>
      </c>
      <c r="L824" t="str">
        <f>"Q"&amp;ROUNDUP(MONTH(SalesData[[#This Row],[Date]])/3,0)</f>
        <v>Q3</v>
      </c>
      <c r="M824" s="1" t="d">
        <f>DATE(YEAR(SalesData[[#This Row],[Date]]),MONTH(SalesData[[#This Row],[Date]]),1)</f>
        <v>2023-08-01</v>
      </c>
      <c r="N82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25" spans="1:14">
      <c r="A825">
        <v>824</v>
      </c>
      <c r="B825" s="1" t="d">
        <v>2023-05-05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t="str">
        <f>TEXT(SalesData[[#This Row],[Date]],"yyyy-mm")</f>
        <v>2023-05</v>
      </c>
      <c r="K825">
        <f>YEAR(SalesData[[#This Row],[Date]])</f>
        <v>2023</v>
      </c>
      <c r="L825" t="str">
        <f>"Q"&amp;ROUNDUP(MONTH(SalesData[[#This Row],[Date]])/3,0)</f>
        <v>Q2</v>
      </c>
      <c r="M825" s="1" t="d">
        <f>DATE(YEAR(SalesData[[#This Row],[Date]]),MONTH(SalesData[[#This Row],[Date]]),1)</f>
        <v>2023-05-01</v>
      </c>
      <c r="N82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26" spans="1:14">
      <c r="A826">
        <v>825</v>
      </c>
      <c r="B826" s="1" t="d">
        <v>2023-08-26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t="str">
        <f>TEXT(SalesData[[#This Row],[Date]],"yyyy-mm")</f>
        <v>2023-08</v>
      </c>
      <c r="K826">
        <f>YEAR(SalesData[[#This Row],[Date]])</f>
        <v>2023</v>
      </c>
      <c r="L826" t="str">
        <f>"Q"&amp;ROUNDUP(MONTH(SalesData[[#This Row],[Date]])/3,0)</f>
        <v>Q3</v>
      </c>
      <c r="M826" s="1" t="d">
        <f>DATE(YEAR(SalesData[[#This Row],[Date]]),MONTH(SalesData[[#This Row],[Date]]),1)</f>
        <v>2023-08-01</v>
      </c>
      <c r="N82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27" spans="1:14">
      <c r="A827">
        <v>826</v>
      </c>
      <c r="B827" s="1" t="d">
        <v>2023-10-19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t="str">
        <f>TEXT(SalesData[[#This Row],[Date]],"yyyy-mm")</f>
        <v>2023-10</v>
      </c>
      <c r="K827">
        <f>YEAR(SalesData[[#This Row],[Date]])</f>
        <v>2023</v>
      </c>
      <c r="L827" t="str">
        <f>"Q"&amp;ROUNDUP(MONTH(SalesData[[#This Row],[Date]])/3,0)</f>
        <v>Q4</v>
      </c>
      <c r="M827" s="1" t="d">
        <f>DATE(YEAR(SalesData[[#This Row],[Date]]),MONTH(SalesData[[#This Row],[Date]]),1)</f>
        <v>2023-10-01</v>
      </c>
      <c r="N82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28" spans="1:14">
      <c r="A828">
        <v>827</v>
      </c>
      <c r="B828" s="1" t="d">
        <v>2023-11-09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t="str">
        <f>TEXT(SalesData[[#This Row],[Date]],"yyyy-mm")</f>
        <v>2023-11</v>
      </c>
      <c r="K828">
        <f>YEAR(SalesData[[#This Row],[Date]])</f>
        <v>2023</v>
      </c>
      <c r="L828" t="str">
        <f>"Q"&amp;ROUNDUP(MONTH(SalesData[[#This Row],[Date]])/3,0)</f>
        <v>Q4</v>
      </c>
      <c r="M828" s="1" t="d">
        <f>DATE(YEAR(SalesData[[#This Row],[Date]]),MONTH(SalesData[[#This Row],[Date]]),1)</f>
        <v>2023-11-01</v>
      </c>
      <c r="N82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29" spans="1:14">
      <c r="A829">
        <v>828</v>
      </c>
      <c r="B829" s="1" t="d">
        <v>2023-12-09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t="str">
        <f>TEXT(SalesData[[#This Row],[Date]],"yyyy-mm")</f>
        <v>2023-12</v>
      </c>
      <c r="K829">
        <f>YEAR(SalesData[[#This Row],[Date]])</f>
        <v>2023</v>
      </c>
      <c r="L829" t="str">
        <f>"Q"&amp;ROUNDUP(MONTH(SalesData[[#This Row],[Date]])/3,0)</f>
        <v>Q4</v>
      </c>
      <c r="M829" s="1" t="d">
        <f>DATE(YEAR(SalesData[[#This Row],[Date]]),MONTH(SalesData[[#This Row],[Date]]),1)</f>
        <v>2023-12-01</v>
      </c>
      <c r="N82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30" spans="1:14">
      <c r="A830">
        <v>829</v>
      </c>
      <c r="B830" s="1" t="d">
        <v>2023-07-14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t="str">
        <f>TEXT(SalesData[[#This Row],[Date]],"yyyy-mm")</f>
        <v>2023-07</v>
      </c>
      <c r="K830">
        <f>YEAR(SalesData[[#This Row],[Date]])</f>
        <v>2023</v>
      </c>
      <c r="L830" t="str">
        <f>"Q"&amp;ROUNDUP(MONTH(SalesData[[#This Row],[Date]])/3,0)</f>
        <v>Q3</v>
      </c>
      <c r="M830" s="1" t="d">
        <f>DATE(YEAR(SalesData[[#This Row],[Date]]),MONTH(SalesData[[#This Row],[Date]]),1)</f>
        <v>2023-07-01</v>
      </c>
      <c r="N83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31" spans="1:14">
      <c r="A831">
        <v>830</v>
      </c>
      <c r="B831" s="1" t="d">
        <v>2023-06-22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t="str">
        <f>TEXT(SalesData[[#This Row],[Date]],"yyyy-mm")</f>
        <v>2023-06</v>
      </c>
      <c r="K831">
        <f>YEAR(SalesData[[#This Row],[Date]])</f>
        <v>2023</v>
      </c>
      <c r="L831" t="str">
        <f>"Q"&amp;ROUNDUP(MONTH(SalesData[[#This Row],[Date]])/3,0)</f>
        <v>Q2</v>
      </c>
      <c r="M831" s="1" t="d">
        <f>DATE(YEAR(SalesData[[#This Row],[Date]]),MONTH(SalesData[[#This Row],[Date]]),1)</f>
        <v>2023-06-01</v>
      </c>
      <c r="N83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32" spans="1:14">
      <c r="A832">
        <v>831</v>
      </c>
      <c r="B832" s="1" t="d">
        <v>2023-01-15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t="str">
        <f>TEXT(SalesData[[#This Row],[Date]],"yyyy-mm")</f>
        <v>2023-01</v>
      </c>
      <c r="K832">
        <f>YEAR(SalesData[[#This Row],[Date]])</f>
        <v>2023</v>
      </c>
      <c r="L832" t="str">
        <f>"Q"&amp;ROUNDUP(MONTH(SalesData[[#This Row],[Date]])/3,0)</f>
        <v>Q1</v>
      </c>
      <c r="M832" s="1" t="d">
        <f>DATE(YEAR(SalesData[[#This Row],[Date]]),MONTH(SalesData[[#This Row],[Date]]),1)</f>
        <v>2023-01-01</v>
      </c>
      <c r="N83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33" spans="1:14">
      <c r="A833">
        <v>832</v>
      </c>
      <c r="B833" s="1" t="d">
        <v>2023-09-11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t="str">
        <f>TEXT(SalesData[[#This Row],[Date]],"yyyy-mm")</f>
        <v>2023-09</v>
      </c>
      <c r="K833">
        <f>YEAR(SalesData[[#This Row],[Date]])</f>
        <v>2023</v>
      </c>
      <c r="L833" t="str">
        <f>"Q"&amp;ROUNDUP(MONTH(SalesData[[#This Row],[Date]])/3,0)</f>
        <v>Q3</v>
      </c>
      <c r="M833" s="1" t="d">
        <f>DATE(YEAR(SalesData[[#This Row],[Date]]),MONTH(SalesData[[#This Row],[Date]]),1)</f>
        <v>2023-09-01</v>
      </c>
      <c r="N83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34" spans="1:14">
      <c r="A834">
        <v>833</v>
      </c>
      <c r="B834" s="1" t="d">
        <v>2023-06-16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t="str">
        <f>TEXT(SalesData[[#This Row],[Date]],"yyyy-mm")</f>
        <v>2023-06</v>
      </c>
      <c r="K834">
        <f>YEAR(SalesData[[#This Row],[Date]])</f>
        <v>2023</v>
      </c>
      <c r="L834" t="str">
        <f>"Q"&amp;ROUNDUP(MONTH(SalesData[[#This Row],[Date]])/3,0)</f>
        <v>Q2</v>
      </c>
      <c r="M834" s="1" t="d">
        <f>DATE(YEAR(SalesData[[#This Row],[Date]]),MONTH(SalesData[[#This Row],[Date]]),1)</f>
        <v>2023-06-01</v>
      </c>
      <c r="N83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35" spans="1:14">
      <c r="A835">
        <v>834</v>
      </c>
      <c r="B835" s="1" t="d">
        <v>2023-04-04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t="str">
        <f>TEXT(SalesData[[#This Row],[Date]],"yyyy-mm")</f>
        <v>2023-04</v>
      </c>
      <c r="K835">
        <f>YEAR(SalesData[[#This Row],[Date]])</f>
        <v>2023</v>
      </c>
      <c r="L835" t="str">
        <f>"Q"&amp;ROUNDUP(MONTH(SalesData[[#This Row],[Date]])/3,0)</f>
        <v>Q2</v>
      </c>
      <c r="M835" s="1" t="d">
        <f>DATE(YEAR(SalesData[[#This Row],[Date]]),MONTH(SalesData[[#This Row],[Date]]),1)</f>
        <v>2023-04-01</v>
      </c>
      <c r="N83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36" spans="1:14">
      <c r="A836">
        <v>835</v>
      </c>
      <c r="B836" s="1" t="d">
        <v>2023-09-07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t="str">
        <f>TEXT(SalesData[[#This Row],[Date]],"yyyy-mm")</f>
        <v>2023-09</v>
      </c>
      <c r="K836">
        <f>YEAR(SalesData[[#This Row],[Date]])</f>
        <v>2023</v>
      </c>
      <c r="L836" t="str">
        <f>"Q"&amp;ROUNDUP(MONTH(SalesData[[#This Row],[Date]])/3,0)</f>
        <v>Q3</v>
      </c>
      <c r="M836" s="1" t="d">
        <f>DATE(YEAR(SalesData[[#This Row],[Date]]),MONTH(SalesData[[#This Row],[Date]]),1)</f>
        <v>2023-09-01</v>
      </c>
      <c r="N83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37" spans="1:14">
      <c r="A837">
        <v>836</v>
      </c>
      <c r="B837" s="1" t="d">
        <v>2023-04-19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t="str">
        <f>TEXT(SalesData[[#This Row],[Date]],"yyyy-mm")</f>
        <v>2023-04</v>
      </c>
      <c r="K837">
        <f>YEAR(SalesData[[#This Row],[Date]])</f>
        <v>2023</v>
      </c>
      <c r="L837" t="str">
        <f>"Q"&amp;ROUNDUP(MONTH(SalesData[[#This Row],[Date]])/3,0)</f>
        <v>Q2</v>
      </c>
      <c r="M837" s="1" t="d">
        <f>DATE(YEAR(SalesData[[#This Row],[Date]]),MONTH(SalesData[[#This Row],[Date]]),1)</f>
        <v>2023-04-01</v>
      </c>
      <c r="N83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38" spans="1:14">
      <c r="A838">
        <v>837</v>
      </c>
      <c r="B838" s="1" t="d">
        <v>2023-07-01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t="str">
        <f>TEXT(SalesData[[#This Row],[Date]],"yyyy-mm")</f>
        <v>2023-07</v>
      </c>
      <c r="K838">
        <f>YEAR(SalesData[[#This Row],[Date]])</f>
        <v>2023</v>
      </c>
      <c r="L838" t="str">
        <f>"Q"&amp;ROUNDUP(MONTH(SalesData[[#This Row],[Date]])/3,0)</f>
        <v>Q3</v>
      </c>
      <c r="M838" s="1" t="d">
        <f>DATE(YEAR(SalesData[[#This Row],[Date]]),MONTH(SalesData[[#This Row],[Date]]),1)</f>
        <v>2023-07-01</v>
      </c>
      <c r="N83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839" spans="1:14">
      <c r="A839">
        <v>838</v>
      </c>
      <c r="B839" s="1" t="d">
        <v>2023-05-13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t="str">
        <f>TEXT(SalesData[[#This Row],[Date]],"yyyy-mm")</f>
        <v>2023-05</v>
      </c>
      <c r="K839">
        <f>YEAR(SalesData[[#This Row],[Date]])</f>
        <v>2023</v>
      </c>
      <c r="L839" t="str">
        <f>"Q"&amp;ROUNDUP(MONTH(SalesData[[#This Row],[Date]])/3,0)</f>
        <v>Q2</v>
      </c>
      <c r="M839" s="1" t="d">
        <f>DATE(YEAR(SalesData[[#This Row],[Date]]),MONTH(SalesData[[#This Row],[Date]]),1)</f>
        <v>2023-05-01</v>
      </c>
      <c r="N8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40" spans="1:14">
      <c r="A840">
        <v>839</v>
      </c>
      <c r="B840" s="1" t="d">
        <v>2023-06-24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t="str">
        <f>TEXT(SalesData[[#This Row],[Date]],"yyyy-mm")</f>
        <v>2023-06</v>
      </c>
      <c r="K840">
        <f>YEAR(SalesData[[#This Row],[Date]])</f>
        <v>2023</v>
      </c>
      <c r="L840" t="str">
        <f>"Q"&amp;ROUNDUP(MONTH(SalesData[[#This Row],[Date]])/3,0)</f>
        <v>Q2</v>
      </c>
      <c r="M840" s="1" t="d">
        <f>DATE(YEAR(SalesData[[#This Row],[Date]]),MONTH(SalesData[[#This Row],[Date]]),1)</f>
        <v>2023-06-01</v>
      </c>
      <c r="N84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41" spans="1:14">
      <c r="A841">
        <v>840</v>
      </c>
      <c r="B841" s="1" t="d">
        <v>2023-05-24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t="str">
        <f>TEXT(SalesData[[#This Row],[Date]],"yyyy-mm")</f>
        <v>2023-05</v>
      </c>
      <c r="K841">
        <f>YEAR(SalesData[[#This Row],[Date]])</f>
        <v>2023</v>
      </c>
      <c r="L841" t="str">
        <f>"Q"&amp;ROUNDUP(MONTH(SalesData[[#This Row],[Date]])/3,0)</f>
        <v>Q2</v>
      </c>
      <c r="M841" s="1" t="d">
        <f>DATE(YEAR(SalesData[[#This Row],[Date]]),MONTH(SalesData[[#This Row],[Date]]),1)</f>
        <v>2023-05-01</v>
      </c>
      <c r="N84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42" spans="1:14">
      <c r="A842">
        <v>841</v>
      </c>
      <c r="B842" s="1" t="d">
        <v>2023-11-02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t="str">
        <f>TEXT(SalesData[[#This Row],[Date]],"yyyy-mm")</f>
        <v>2023-11</v>
      </c>
      <c r="K842">
        <f>YEAR(SalesData[[#This Row],[Date]])</f>
        <v>2023</v>
      </c>
      <c r="L842" t="str">
        <f>"Q"&amp;ROUNDUP(MONTH(SalesData[[#This Row],[Date]])/3,0)</f>
        <v>Q4</v>
      </c>
      <c r="M842" s="1" t="d">
        <f>DATE(YEAR(SalesData[[#This Row],[Date]]),MONTH(SalesData[[#This Row],[Date]]),1)</f>
        <v>2023-11-01</v>
      </c>
      <c r="N84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43" spans="1:14">
      <c r="A843">
        <v>842</v>
      </c>
      <c r="B843" s="1" t="d">
        <v>2023-12-26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t="str">
        <f>TEXT(SalesData[[#This Row],[Date]],"yyyy-mm")</f>
        <v>2023-12</v>
      </c>
      <c r="K843">
        <f>YEAR(SalesData[[#This Row],[Date]])</f>
        <v>2023</v>
      </c>
      <c r="L843" t="str">
        <f>"Q"&amp;ROUNDUP(MONTH(SalesData[[#This Row],[Date]])/3,0)</f>
        <v>Q4</v>
      </c>
      <c r="M843" s="1" t="d">
        <f>DATE(YEAR(SalesData[[#This Row],[Date]]),MONTH(SalesData[[#This Row],[Date]]),1)</f>
        <v>2023-12-01</v>
      </c>
      <c r="N84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44" spans="1:14">
      <c r="A844">
        <v>843</v>
      </c>
      <c r="B844" s="1" t="d">
        <v>2023-05-22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t="str">
        <f>TEXT(SalesData[[#This Row],[Date]],"yyyy-mm")</f>
        <v>2023-05</v>
      </c>
      <c r="K844">
        <f>YEAR(SalesData[[#This Row],[Date]])</f>
        <v>2023</v>
      </c>
      <c r="L844" t="str">
        <f>"Q"&amp;ROUNDUP(MONTH(SalesData[[#This Row],[Date]])/3,0)</f>
        <v>Q2</v>
      </c>
      <c r="M844" s="1" t="d">
        <f>DATE(YEAR(SalesData[[#This Row],[Date]]),MONTH(SalesData[[#This Row],[Date]]),1)</f>
        <v>2023-05-01</v>
      </c>
      <c r="N84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45" spans="1:14">
      <c r="A845">
        <v>844</v>
      </c>
      <c r="B845" s="1" t="d">
        <v>2023-10-12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t="str">
        <f>TEXT(SalesData[[#This Row],[Date]],"yyyy-mm")</f>
        <v>2023-10</v>
      </c>
      <c r="K845">
        <f>YEAR(SalesData[[#This Row],[Date]])</f>
        <v>2023</v>
      </c>
      <c r="L845" t="str">
        <f>"Q"&amp;ROUNDUP(MONTH(SalesData[[#This Row],[Date]])/3,0)</f>
        <v>Q4</v>
      </c>
      <c r="M845" s="1" t="d">
        <f>DATE(YEAR(SalesData[[#This Row],[Date]]),MONTH(SalesData[[#This Row],[Date]]),1)</f>
        <v>2023-10-01</v>
      </c>
      <c r="N84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46" spans="1:14">
      <c r="A846">
        <v>845</v>
      </c>
      <c r="B846" s="1" t="d">
        <v>2023-01-06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t="str">
        <f>TEXT(SalesData[[#This Row],[Date]],"yyyy-mm")</f>
        <v>2023-01</v>
      </c>
      <c r="K846">
        <f>YEAR(SalesData[[#This Row],[Date]])</f>
        <v>2023</v>
      </c>
      <c r="L846" t="str">
        <f>"Q"&amp;ROUNDUP(MONTH(SalesData[[#This Row],[Date]])/3,0)</f>
        <v>Q1</v>
      </c>
      <c r="M846" s="1" t="d">
        <f>DATE(YEAR(SalesData[[#This Row],[Date]]),MONTH(SalesData[[#This Row],[Date]]),1)</f>
        <v>2023-01-01</v>
      </c>
      <c r="N84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47" spans="1:14">
      <c r="A847">
        <v>846</v>
      </c>
      <c r="B847" s="1" t="d">
        <v>2023-09-22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t="str">
        <f>TEXT(SalesData[[#This Row],[Date]],"yyyy-mm")</f>
        <v>2023-09</v>
      </c>
      <c r="K847">
        <f>YEAR(SalesData[[#This Row],[Date]])</f>
        <v>2023</v>
      </c>
      <c r="L847" t="str">
        <f>"Q"&amp;ROUNDUP(MONTH(SalesData[[#This Row],[Date]])/3,0)</f>
        <v>Q3</v>
      </c>
      <c r="M847" s="1" t="d">
        <f>DATE(YEAR(SalesData[[#This Row],[Date]]),MONTH(SalesData[[#This Row],[Date]]),1)</f>
        <v>2023-09-01</v>
      </c>
      <c r="N84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48" spans="1:14">
      <c r="A848">
        <v>847</v>
      </c>
      <c r="B848" s="1" t="d">
        <v>2023-04-08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t="str">
        <f>TEXT(SalesData[[#This Row],[Date]],"yyyy-mm")</f>
        <v>2023-04</v>
      </c>
      <c r="K848">
        <f>YEAR(SalesData[[#This Row],[Date]])</f>
        <v>2023</v>
      </c>
      <c r="L848" t="str">
        <f>"Q"&amp;ROUNDUP(MONTH(SalesData[[#This Row],[Date]])/3,0)</f>
        <v>Q2</v>
      </c>
      <c r="M848" s="1" t="d">
        <f>DATE(YEAR(SalesData[[#This Row],[Date]]),MONTH(SalesData[[#This Row],[Date]]),1)</f>
        <v>2023-04-01</v>
      </c>
      <c r="N848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849" spans="1:14">
      <c r="A849">
        <v>848</v>
      </c>
      <c r="B849" s="1" t="d">
        <v>2023-02-13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t="str">
        <f>TEXT(SalesData[[#This Row],[Date]],"yyyy-mm")</f>
        <v>2023-02</v>
      </c>
      <c r="K849">
        <f>YEAR(SalesData[[#This Row],[Date]])</f>
        <v>2023</v>
      </c>
      <c r="L849" t="str">
        <f>"Q"&amp;ROUNDUP(MONTH(SalesData[[#This Row],[Date]])/3,0)</f>
        <v>Q1</v>
      </c>
      <c r="M849" s="1" t="d">
        <f>DATE(YEAR(SalesData[[#This Row],[Date]]),MONTH(SalesData[[#This Row],[Date]]),1)</f>
        <v>2023-02-01</v>
      </c>
      <c r="N84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50" spans="1:14">
      <c r="A850">
        <v>849</v>
      </c>
      <c r="B850" s="1" t="d">
        <v>2023-05-04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t="str">
        <f>TEXT(SalesData[[#This Row],[Date]],"yyyy-mm")</f>
        <v>2023-05</v>
      </c>
      <c r="K850">
        <f>YEAR(SalesData[[#This Row],[Date]])</f>
        <v>2023</v>
      </c>
      <c r="L850" t="str">
        <f>"Q"&amp;ROUNDUP(MONTH(SalesData[[#This Row],[Date]])/3,0)</f>
        <v>Q2</v>
      </c>
      <c r="M850" s="1" t="d">
        <f>DATE(YEAR(SalesData[[#This Row],[Date]]),MONTH(SalesData[[#This Row],[Date]]),1)</f>
        <v>2023-05-01</v>
      </c>
      <c r="N85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51" spans="1:14">
      <c r="A851">
        <v>850</v>
      </c>
      <c r="B851" s="1" t="d">
        <v>2023-07-28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t="str">
        <f>TEXT(SalesData[[#This Row],[Date]],"yyyy-mm")</f>
        <v>2023-07</v>
      </c>
      <c r="K851">
        <f>YEAR(SalesData[[#This Row],[Date]])</f>
        <v>2023</v>
      </c>
      <c r="L851" t="str">
        <f>"Q"&amp;ROUNDUP(MONTH(SalesData[[#This Row],[Date]])/3,0)</f>
        <v>Q3</v>
      </c>
      <c r="M851" s="1" t="d">
        <f>DATE(YEAR(SalesData[[#This Row],[Date]]),MONTH(SalesData[[#This Row],[Date]]),1)</f>
        <v>2023-07-01</v>
      </c>
      <c r="N85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52" spans="1:14">
      <c r="A852">
        <v>851</v>
      </c>
      <c r="B852" s="1" t="d">
        <v>2023-09-08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t="str">
        <f>TEXT(SalesData[[#This Row],[Date]],"yyyy-mm")</f>
        <v>2023-09</v>
      </c>
      <c r="K852">
        <f>YEAR(SalesData[[#This Row],[Date]])</f>
        <v>2023</v>
      </c>
      <c r="L852" t="str">
        <f>"Q"&amp;ROUNDUP(MONTH(SalesData[[#This Row],[Date]])/3,0)</f>
        <v>Q3</v>
      </c>
      <c r="M852" s="1" t="d">
        <f>DATE(YEAR(SalesData[[#This Row],[Date]]),MONTH(SalesData[[#This Row],[Date]]),1)</f>
        <v>2023-09-01</v>
      </c>
      <c r="N85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53" spans="1:14">
      <c r="A853">
        <v>852</v>
      </c>
      <c r="B853" s="1" t="d">
        <v>2023-10-12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t="str">
        <f>TEXT(SalesData[[#This Row],[Date]],"yyyy-mm")</f>
        <v>2023-10</v>
      </c>
      <c r="K853">
        <f>YEAR(SalesData[[#This Row],[Date]])</f>
        <v>2023</v>
      </c>
      <c r="L853" t="str">
        <f>"Q"&amp;ROUNDUP(MONTH(SalesData[[#This Row],[Date]])/3,0)</f>
        <v>Q4</v>
      </c>
      <c r="M853" s="1" t="d">
        <f>DATE(YEAR(SalesData[[#This Row],[Date]]),MONTH(SalesData[[#This Row],[Date]]),1)</f>
        <v>2023-10-01</v>
      </c>
      <c r="N85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54" spans="1:14">
      <c r="A854">
        <v>853</v>
      </c>
      <c r="B854" s="1" t="d">
        <v>2023-05-04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t="str">
        <f>TEXT(SalesData[[#This Row],[Date]],"yyyy-mm")</f>
        <v>2023-05</v>
      </c>
      <c r="K854">
        <f>YEAR(SalesData[[#This Row],[Date]])</f>
        <v>2023</v>
      </c>
      <c r="L854" t="str">
        <f>"Q"&amp;ROUNDUP(MONTH(SalesData[[#This Row],[Date]])/3,0)</f>
        <v>Q2</v>
      </c>
      <c r="M854" s="1" t="d">
        <f>DATE(YEAR(SalesData[[#This Row],[Date]]),MONTH(SalesData[[#This Row],[Date]]),1)</f>
        <v>2023-05-01</v>
      </c>
      <c r="N85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55" spans="1:14">
      <c r="A855">
        <v>854</v>
      </c>
      <c r="B855" s="1" t="d">
        <v>2023-12-20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t="str">
        <f>TEXT(SalesData[[#This Row],[Date]],"yyyy-mm")</f>
        <v>2023-12</v>
      </c>
      <c r="K855">
        <f>YEAR(SalesData[[#This Row],[Date]])</f>
        <v>2023</v>
      </c>
      <c r="L855" t="str">
        <f>"Q"&amp;ROUNDUP(MONTH(SalesData[[#This Row],[Date]])/3,0)</f>
        <v>Q4</v>
      </c>
      <c r="M855" s="1" t="d">
        <f>DATE(YEAR(SalesData[[#This Row],[Date]]),MONTH(SalesData[[#This Row],[Date]]),1)</f>
        <v>2023-12-01</v>
      </c>
      <c r="N85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56" spans="1:14">
      <c r="A856">
        <v>855</v>
      </c>
      <c r="B856" s="1" t="d">
        <v>2023-09-01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t="str">
        <f>TEXT(SalesData[[#This Row],[Date]],"yyyy-mm")</f>
        <v>2023-09</v>
      </c>
      <c r="K856">
        <f>YEAR(SalesData[[#This Row],[Date]])</f>
        <v>2023</v>
      </c>
      <c r="L856" t="str">
        <f>"Q"&amp;ROUNDUP(MONTH(SalesData[[#This Row],[Date]])/3,0)</f>
        <v>Q3</v>
      </c>
      <c r="M856" s="1" t="d">
        <f>DATE(YEAR(SalesData[[#This Row],[Date]]),MONTH(SalesData[[#This Row],[Date]]),1)</f>
        <v>2023-09-01</v>
      </c>
      <c r="N85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57" spans="1:14">
      <c r="A857">
        <v>856</v>
      </c>
      <c r="B857" s="1" t="d">
        <v>2023-11-27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t="str">
        <f>TEXT(SalesData[[#This Row],[Date]],"yyyy-mm")</f>
        <v>2023-11</v>
      </c>
      <c r="K857">
        <f>YEAR(SalesData[[#This Row],[Date]])</f>
        <v>2023</v>
      </c>
      <c r="L857" t="str">
        <f>"Q"&amp;ROUNDUP(MONTH(SalesData[[#This Row],[Date]])/3,0)</f>
        <v>Q4</v>
      </c>
      <c r="M857" s="1" t="d">
        <f>DATE(YEAR(SalesData[[#This Row],[Date]]),MONTH(SalesData[[#This Row],[Date]]),1)</f>
        <v>2023-11-01</v>
      </c>
      <c r="N85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58" spans="1:14">
      <c r="A858">
        <v>857</v>
      </c>
      <c r="B858" s="1" t="d">
        <v>2023-12-31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t="str">
        <f>TEXT(SalesData[[#This Row],[Date]],"yyyy-mm")</f>
        <v>2023-12</v>
      </c>
      <c r="K858">
        <f>YEAR(SalesData[[#This Row],[Date]])</f>
        <v>2023</v>
      </c>
      <c r="L858" t="str">
        <f>"Q"&amp;ROUNDUP(MONTH(SalesData[[#This Row],[Date]])/3,0)</f>
        <v>Q4</v>
      </c>
      <c r="M858" s="1" t="d">
        <f>DATE(YEAR(SalesData[[#This Row],[Date]]),MONTH(SalesData[[#This Row],[Date]]),1)</f>
        <v>2023-12-01</v>
      </c>
      <c r="N85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59" spans="1:14">
      <c r="A859">
        <v>858</v>
      </c>
      <c r="B859" s="1" t="d">
        <v>2023-09-09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t="str">
        <f>TEXT(SalesData[[#This Row],[Date]],"yyyy-mm")</f>
        <v>2023-09</v>
      </c>
      <c r="K859">
        <f>YEAR(SalesData[[#This Row],[Date]])</f>
        <v>2023</v>
      </c>
      <c r="L859" t="str">
        <f>"Q"&amp;ROUNDUP(MONTH(SalesData[[#This Row],[Date]])/3,0)</f>
        <v>Q3</v>
      </c>
      <c r="M859" s="1" t="d">
        <f>DATE(YEAR(SalesData[[#This Row],[Date]]),MONTH(SalesData[[#This Row],[Date]]),1)</f>
        <v>2023-09-01</v>
      </c>
      <c r="N85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60" spans="1:14">
      <c r="A860">
        <v>859</v>
      </c>
      <c r="B860" s="1" t="d">
        <v>2023-08-18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t="str">
        <f>TEXT(SalesData[[#This Row],[Date]],"yyyy-mm")</f>
        <v>2023-08</v>
      </c>
      <c r="K860">
        <f>YEAR(SalesData[[#This Row],[Date]])</f>
        <v>2023</v>
      </c>
      <c r="L860" t="str">
        <f>"Q"&amp;ROUNDUP(MONTH(SalesData[[#This Row],[Date]])/3,0)</f>
        <v>Q3</v>
      </c>
      <c r="M860" s="1" t="d">
        <f>DATE(YEAR(SalesData[[#This Row],[Date]]),MONTH(SalesData[[#This Row],[Date]]),1)</f>
        <v>2023-08-01</v>
      </c>
      <c r="N860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61" spans="1:14">
      <c r="A861">
        <v>860</v>
      </c>
      <c r="B861" s="1" t="d">
        <v>2023-01-09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t="str">
        <f>TEXT(SalesData[[#This Row],[Date]],"yyyy-mm")</f>
        <v>2023-01</v>
      </c>
      <c r="K861">
        <f>YEAR(SalesData[[#This Row],[Date]])</f>
        <v>2023</v>
      </c>
      <c r="L861" t="str">
        <f>"Q"&amp;ROUNDUP(MONTH(SalesData[[#This Row],[Date]])/3,0)</f>
        <v>Q1</v>
      </c>
      <c r="M861" s="1" t="d">
        <f>DATE(YEAR(SalesData[[#This Row],[Date]]),MONTH(SalesData[[#This Row],[Date]]),1)</f>
        <v>2023-01-01</v>
      </c>
      <c r="N86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62" spans="1:14">
      <c r="A862">
        <v>861</v>
      </c>
      <c r="B862" s="1" t="d">
        <v>2023-02-17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t="str">
        <f>TEXT(SalesData[[#This Row],[Date]],"yyyy-mm")</f>
        <v>2023-02</v>
      </c>
      <c r="K862">
        <f>YEAR(SalesData[[#This Row],[Date]])</f>
        <v>2023</v>
      </c>
      <c r="L862" t="str">
        <f>"Q"&amp;ROUNDUP(MONTH(SalesData[[#This Row],[Date]])/3,0)</f>
        <v>Q1</v>
      </c>
      <c r="M862" s="1" t="d">
        <f>DATE(YEAR(SalesData[[#This Row],[Date]]),MONTH(SalesData[[#This Row],[Date]]),1)</f>
        <v>2023-02-01</v>
      </c>
      <c r="N86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63" spans="1:14">
      <c r="A863">
        <v>862</v>
      </c>
      <c r="B863" s="1" t="d">
        <v>2023-05-31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t="str">
        <f>TEXT(SalesData[[#This Row],[Date]],"yyyy-mm")</f>
        <v>2023-05</v>
      </c>
      <c r="K863">
        <f>YEAR(SalesData[[#This Row],[Date]])</f>
        <v>2023</v>
      </c>
      <c r="L863" t="str">
        <f>"Q"&amp;ROUNDUP(MONTH(SalesData[[#This Row],[Date]])/3,0)</f>
        <v>Q2</v>
      </c>
      <c r="M863" s="1" t="d">
        <f>DATE(YEAR(SalesData[[#This Row],[Date]]),MONTH(SalesData[[#This Row],[Date]]),1)</f>
        <v>2023-05-01</v>
      </c>
      <c r="N86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64" spans="1:14">
      <c r="A864">
        <v>863</v>
      </c>
      <c r="B864" s="1" t="d">
        <v>2023-04-24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t="str">
        <f>TEXT(SalesData[[#This Row],[Date]],"yyyy-mm")</f>
        <v>2023-04</v>
      </c>
      <c r="K864">
        <f>YEAR(SalesData[[#This Row],[Date]])</f>
        <v>2023</v>
      </c>
      <c r="L864" t="str">
        <f>"Q"&amp;ROUNDUP(MONTH(SalesData[[#This Row],[Date]])/3,0)</f>
        <v>Q2</v>
      </c>
      <c r="M864" s="1" t="d">
        <f>DATE(YEAR(SalesData[[#This Row],[Date]]),MONTH(SalesData[[#This Row],[Date]]),1)</f>
        <v>2023-04-01</v>
      </c>
      <c r="N86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65" spans="1:14">
      <c r="A865">
        <v>864</v>
      </c>
      <c r="B865" s="1" t="d">
        <v>2023-07-27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t="str">
        <f>TEXT(SalesData[[#This Row],[Date]],"yyyy-mm")</f>
        <v>2023-07</v>
      </c>
      <c r="K865">
        <f>YEAR(SalesData[[#This Row],[Date]])</f>
        <v>2023</v>
      </c>
      <c r="L865" t="str">
        <f>"Q"&amp;ROUNDUP(MONTH(SalesData[[#This Row],[Date]])/3,0)</f>
        <v>Q3</v>
      </c>
      <c r="M865" s="1" t="d">
        <f>DATE(YEAR(SalesData[[#This Row],[Date]]),MONTH(SalesData[[#This Row],[Date]]),1)</f>
        <v>2023-07-01</v>
      </c>
      <c r="N86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66" spans="1:14">
      <c r="A866">
        <v>865</v>
      </c>
      <c r="B866" s="1" t="d">
        <v>2023-12-21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t="str">
        <f>TEXT(SalesData[[#This Row],[Date]],"yyyy-mm")</f>
        <v>2023-12</v>
      </c>
      <c r="K866">
        <f>YEAR(SalesData[[#This Row],[Date]])</f>
        <v>2023</v>
      </c>
      <c r="L866" t="str">
        <f>"Q"&amp;ROUNDUP(MONTH(SalesData[[#This Row],[Date]])/3,0)</f>
        <v>Q4</v>
      </c>
      <c r="M866" s="1" t="d">
        <f>DATE(YEAR(SalesData[[#This Row],[Date]]),MONTH(SalesData[[#This Row],[Date]]),1)</f>
        <v>2023-12-01</v>
      </c>
      <c r="N86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67" spans="1:14">
      <c r="A867">
        <v>866</v>
      </c>
      <c r="B867" s="1" t="d">
        <v>2023-05-05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t="str">
        <f>TEXT(SalesData[[#This Row],[Date]],"yyyy-mm")</f>
        <v>2023-05</v>
      </c>
      <c r="K867">
        <f>YEAR(SalesData[[#This Row],[Date]])</f>
        <v>2023</v>
      </c>
      <c r="L867" t="str">
        <f>"Q"&amp;ROUNDUP(MONTH(SalesData[[#This Row],[Date]])/3,0)</f>
        <v>Q2</v>
      </c>
      <c r="M867" s="1" t="d">
        <f>DATE(YEAR(SalesData[[#This Row],[Date]]),MONTH(SalesData[[#This Row],[Date]]),1)</f>
        <v>2023-05-01</v>
      </c>
      <c r="N86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68" spans="1:14">
      <c r="A868">
        <v>867</v>
      </c>
      <c r="B868" s="1" t="d">
        <v>2023-06-06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t="str">
        <f>TEXT(SalesData[[#This Row],[Date]],"yyyy-mm")</f>
        <v>2023-06</v>
      </c>
      <c r="K868">
        <f>YEAR(SalesData[[#This Row],[Date]])</f>
        <v>2023</v>
      </c>
      <c r="L868" t="str">
        <f>"Q"&amp;ROUNDUP(MONTH(SalesData[[#This Row],[Date]])/3,0)</f>
        <v>Q2</v>
      </c>
      <c r="M868" s="1" t="d">
        <f>DATE(YEAR(SalesData[[#This Row],[Date]]),MONTH(SalesData[[#This Row],[Date]]),1)</f>
        <v>2023-06-01</v>
      </c>
      <c r="N868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69" spans="1:14">
      <c r="A869">
        <v>868</v>
      </c>
      <c r="B869" s="1" t="d">
        <v>2023-12-06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t="str">
        <f>TEXT(SalesData[[#This Row],[Date]],"yyyy-mm")</f>
        <v>2023-12</v>
      </c>
      <c r="K869">
        <f>YEAR(SalesData[[#This Row],[Date]])</f>
        <v>2023</v>
      </c>
      <c r="L869" t="str">
        <f>"Q"&amp;ROUNDUP(MONTH(SalesData[[#This Row],[Date]])/3,0)</f>
        <v>Q4</v>
      </c>
      <c r="M869" s="1" t="d">
        <f>DATE(YEAR(SalesData[[#This Row],[Date]]),MONTH(SalesData[[#This Row],[Date]]),1)</f>
        <v>2023-12-01</v>
      </c>
      <c r="N86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70" spans="1:14">
      <c r="A870">
        <v>869</v>
      </c>
      <c r="B870" s="1" t="d">
        <v>2023-10-25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t="str">
        <f>TEXT(SalesData[[#This Row],[Date]],"yyyy-mm")</f>
        <v>2023-10</v>
      </c>
      <c r="K870">
        <f>YEAR(SalesData[[#This Row],[Date]])</f>
        <v>2023</v>
      </c>
      <c r="L870" t="str">
        <f>"Q"&amp;ROUNDUP(MONTH(SalesData[[#This Row],[Date]])/3,0)</f>
        <v>Q4</v>
      </c>
      <c r="M870" s="1" t="d">
        <f>DATE(YEAR(SalesData[[#This Row],[Date]]),MONTH(SalesData[[#This Row],[Date]]),1)</f>
        <v>2023-10-01</v>
      </c>
      <c r="N87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71" spans="1:14">
      <c r="A871">
        <v>870</v>
      </c>
      <c r="B871" s="1" t="d">
        <v>2023-07-08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t="str">
        <f>TEXT(SalesData[[#This Row],[Date]],"yyyy-mm")</f>
        <v>2023-07</v>
      </c>
      <c r="K871">
        <f>YEAR(SalesData[[#This Row],[Date]])</f>
        <v>2023</v>
      </c>
      <c r="L871" t="str">
        <f>"Q"&amp;ROUNDUP(MONTH(SalesData[[#This Row],[Date]])/3,0)</f>
        <v>Q3</v>
      </c>
      <c r="M871" s="1" t="d">
        <f>DATE(YEAR(SalesData[[#This Row],[Date]]),MONTH(SalesData[[#This Row],[Date]]),1)</f>
        <v>2023-07-01</v>
      </c>
      <c r="N871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72" spans="1:14">
      <c r="A872">
        <v>871</v>
      </c>
      <c r="B872" s="1" t="d">
        <v>2023-08-31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t="str">
        <f>TEXT(SalesData[[#This Row],[Date]],"yyyy-mm")</f>
        <v>2023-08</v>
      </c>
      <c r="K872">
        <f>YEAR(SalesData[[#This Row],[Date]])</f>
        <v>2023</v>
      </c>
      <c r="L872" t="str">
        <f>"Q"&amp;ROUNDUP(MONTH(SalesData[[#This Row],[Date]])/3,0)</f>
        <v>Q3</v>
      </c>
      <c r="M872" s="1" t="d">
        <f>DATE(YEAR(SalesData[[#This Row],[Date]]),MONTH(SalesData[[#This Row],[Date]]),1)</f>
        <v>2023-08-01</v>
      </c>
      <c r="N87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73" spans="1:14">
      <c r="A873">
        <v>872</v>
      </c>
      <c r="B873" s="1" t="d">
        <v>2023-10-11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t="str">
        <f>TEXT(SalesData[[#This Row],[Date]],"yyyy-mm")</f>
        <v>2023-10</v>
      </c>
      <c r="K873">
        <f>YEAR(SalesData[[#This Row],[Date]])</f>
        <v>2023</v>
      </c>
      <c r="L873" t="str">
        <f>"Q"&amp;ROUNDUP(MONTH(SalesData[[#This Row],[Date]])/3,0)</f>
        <v>Q4</v>
      </c>
      <c r="M873" s="1" t="d">
        <f>DATE(YEAR(SalesData[[#This Row],[Date]]),MONTH(SalesData[[#This Row],[Date]]),1)</f>
        <v>2023-10-01</v>
      </c>
      <c r="N87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74" spans="1:14">
      <c r="A874">
        <v>873</v>
      </c>
      <c r="B874" s="1" t="d">
        <v>2023-09-29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t="str">
        <f>TEXT(SalesData[[#This Row],[Date]],"yyyy-mm")</f>
        <v>2023-09</v>
      </c>
      <c r="K874">
        <f>YEAR(SalesData[[#This Row],[Date]])</f>
        <v>2023</v>
      </c>
      <c r="L874" t="str">
        <f>"Q"&amp;ROUNDUP(MONTH(SalesData[[#This Row],[Date]])/3,0)</f>
        <v>Q3</v>
      </c>
      <c r="M874" s="1" t="d">
        <f>DATE(YEAR(SalesData[[#This Row],[Date]]),MONTH(SalesData[[#This Row],[Date]]),1)</f>
        <v>2023-09-01</v>
      </c>
      <c r="N87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75" spans="1:14">
      <c r="A875">
        <v>874</v>
      </c>
      <c r="B875" s="1" t="d">
        <v>2023-06-26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t="str">
        <f>TEXT(SalesData[[#This Row],[Date]],"yyyy-mm")</f>
        <v>2023-06</v>
      </c>
      <c r="K875">
        <f>YEAR(SalesData[[#This Row],[Date]])</f>
        <v>2023</v>
      </c>
      <c r="L875" t="str">
        <f>"Q"&amp;ROUNDUP(MONTH(SalesData[[#This Row],[Date]])/3,0)</f>
        <v>Q2</v>
      </c>
      <c r="M875" s="1" t="d">
        <f>DATE(YEAR(SalesData[[#This Row],[Date]]),MONTH(SalesData[[#This Row],[Date]]),1)</f>
        <v>2023-06-01</v>
      </c>
      <c r="N87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76" spans="1:14">
      <c r="A876">
        <v>875</v>
      </c>
      <c r="B876" s="1" t="d">
        <v>2023-08-06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t="str">
        <f>TEXT(SalesData[[#This Row],[Date]],"yyyy-mm")</f>
        <v>2023-08</v>
      </c>
      <c r="K876">
        <f>YEAR(SalesData[[#This Row],[Date]])</f>
        <v>2023</v>
      </c>
      <c r="L876" t="str">
        <f>"Q"&amp;ROUNDUP(MONTH(SalesData[[#This Row],[Date]])/3,0)</f>
        <v>Q3</v>
      </c>
      <c r="M876" s="1" t="d">
        <f>DATE(YEAR(SalesData[[#This Row],[Date]]),MONTH(SalesData[[#This Row],[Date]]),1)</f>
        <v>2023-08-01</v>
      </c>
      <c r="N87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77" spans="1:14">
      <c r="A877">
        <v>876</v>
      </c>
      <c r="B877" s="1" t="d">
        <v>2023-10-09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t="str">
        <f>TEXT(SalesData[[#This Row],[Date]],"yyyy-mm")</f>
        <v>2023-10</v>
      </c>
      <c r="K877">
        <f>YEAR(SalesData[[#This Row],[Date]])</f>
        <v>2023</v>
      </c>
      <c r="L877" t="str">
        <f>"Q"&amp;ROUNDUP(MONTH(SalesData[[#This Row],[Date]])/3,0)</f>
        <v>Q4</v>
      </c>
      <c r="M877" s="1" t="d">
        <f>DATE(YEAR(SalesData[[#This Row],[Date]]),MONTH(SalesData[[#This Row],[Date]]),1)</f>
        <v>2023-10-01</v>
      </c>
      <c r="N87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78" spans="1:14">
      <c r="A878">
        <v>877</v>
      </c>
      <c r="B878" s="1" t="d">
        <v>2023-06-19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t="str">
        <f>TEXT(SalesData[[#This Row],[Date]],"yyyy-mm")</f>
        <v>2023-06</v>
      </c>
      <c r="K878">
        <f>YEAR(SalesData[[#This Row],[Date]])</f>
        <v>2023</v>
      </c>
      <c r="L878" t="str">
        <f>"Q"&amp;ROUNDUP(MONTH(SalesData[[#This Row],[Date]])/3,0)</f>
        <v>Q2</v>
      </c>
      <c r="M878" s="1" t="d">
        <f>DATE(YEAR(SalesData[[#This Row],[Date]]),MONTH(SalesData[[#This Row],[Date]]),1)</f>
        <v>2023-06-01</v>
      </c>
      <c r="N87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79" spans="1:14">
      <c r="A879">
        <v>878</v>
      </c>
      <c r="B879" s="1" t="d">
        <v>2023-06-30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t="str">
        <f>TEXT(SalesData[[#This Row],[Date]],"yyyy-mm")</f>
        <v>2023-06</v>
      </c>
      <c r="K879">
        <f>YEAR(SalesData[[#This Row],[Date]])</f>
        <v>2023</v>
      </c>
      <c r="L879" t="str">
        <f>"Q"&amp;ROUNDUP(MONTH(SalesData[[#This Row],[Date]])/3,0)</f>
        <v>Q2</v>
      </c>
      <c r="M879" s="1" t="d">
        <f>DATE(YEAR(SalesData[[#This Row],[Date]]),MONTH(SalesData[[#This Row],[Date]]),1)</f>
        <v>2023-06-01</v>
      </c>
      <c r="N87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80" spans="1:14">
      <c r="A880">
        <v>879</v>
      </c>
      <c r="B880" s="1" t="d">
        <v>2023-12-26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t="str">
        <f>TEXT(SalesData[[#This Row],[Date]],"yyyy-mm")</f>
        <v>2023-12</v>
      </c>
      <c r="K880">
        <f>YEAR(SalesData[[#This Row],[Date]])</f>
        <v>2023</v>
      </c>
      <c r="L880" t="str">
        <f>"Q"&amp;ROUNDUP(MONTH(SalesData[[#This Row],[Date]])/3,0)</f>
        <v>Q4</v>
      </c>
      <c r="M880" s="1" t="d">
        <f>DATE(YEAR(SalesData[[#This Row],[Date]]),MONTH(SalesData[[#This Row],[Date]]),1)</f>
        <v>2023-12-01</v>
      </c>
      <c r="N88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81" spans="1:14">
      <c r="A881">
        <v>880</v>
      </c>
      <c r="B881" s="1" t="d">
        <v>2023-08-21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t="str">
        <f>TEXT(SalesData[[#This Row],[Date]],"yyyy-mm")</f>
        <v>2023-08</v>
      </c>
      <c r="K881">
        <f>YEAR(SalesData[[#This Row],[Date]])</f>
        <v>2023</v>
      </c>
      <c r="L881" t="str">
        <f>"Q"&amp;ROUNDUP(MONTH(SalesData[[#This Row],[Date]])/3,0)</f>
        <v>Q3</v>
      </c>
      <c r="M881" s="1" t="d">
        <f>DATE(YEAR(SalesData[[#This Row],[Date]]),MONTH(SalesData[[#This Row],[Date]]),1)</f>
        <v>2023-08-01</v>
      </c>
      <c r="N88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82" spans="1:14">
      <c r="A882">
        <v>881</v>
      </c>
      <c r="B882" s="1" t="d">
        <v>2023-05-19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t="str">
        <f>TEXT(SalesData[[#This Row],[Date]],"yyyy-mm")</f>
        <v>2023-05</v>
      </c>
      <c r="K882">
        <f>YEAR(SalesData[[#This Row],[Date]])</f>
        <v>2023</v>
      </c>
      <c r="L882" t="str">
        <f>"Q"&amp;ROUNDUP(MONTH(SalesData[[#This Row],[Date]])/3,0)</f>
        <v>Q2</v>
      </c>
      <c r="M882" s="1" t="d">
        <f>DATE(YEAR(SalesData[[#This Row],[Date]]),MONTH(SalesData[[#This Row],[Date]]),1)</f>
        <v>2023-05-01</v>
      </c>
      <c r="N88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83" spans="1:14">
      <c r="A883">
        <v>882</v>
      </c>
      <c r="B883" s="1" t="d">
        <v>2023-06-06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t="str">
        <f>TEXT(SalesData[[#This Row],[Date]],"yyyy-mm")</f>
        <v>2023-06</v>
      </c>
      <c r="K883">
        <f>YEAR(SalesData[[#This Row],[Date]])</f>
        <v>2023</v>
      </c>
      <c r="L883" t="str">
        <f>"Q"&amp;ROUNDUP(MONTH(SalesData[[#This Row],[Date]])/3,0)</f>
        <v>Q2</v>
      </c>
      <c r="M883" s="1" t="d">
        <f>DATE(YEAR(SalesData[[#This Row],[Date]]),MONTH(SalesData[[#This Row],[Date]]),1)</f>
        <v>2023-06-01</v>
      </c>
      <c r="N88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84" spans="1:14">
      <c r="A884">
        <v>883</v>
      </c>
      <c r="B884" s="1" t="d">
        <v>2023-05-09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t="str">
        <f>TEXT(SalesData[[#This Row],[Date]],"yyyy-mm")</f>
        <v>2023-05</v>
      </c>
      <c r="K884">
        <f>YEAR(SalesData[[#This Row],[Date]])</f>
        <v>2023</v>
      </c>
      <c r="L884" t="str">
        <f>"Q"&amp;ROUNDUP(MONTH(SalesData[[#This Row],[Date]])/3,0)</f>
        <v>Q2</v>
      </c>
      <c r="M884" s="1" t="d">
        <f>DATE(YEAR(SalesData[[#This Row],[Date]]),MONTH(SalesData[[#This Row],[Date]]),1)</f>
        <v>2023-05-01</v>
      </c>
      <c r="N88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85" spans="1:14">
      <c r="A885">
        <v>884</v>
      </c>
      <c r="B885" s="1" t="d">
        <v>2023-04-29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t="str">
        <f>TEXT(SalesData[[#This Row],[Date]],"yyyy-mm")</f>
        <v>2023-04</v>
      </c>
      <c r="K885">
        <f>YEAR(SalesData[[#This Row],[Date]])</f>
        <v>2023</v>
      </c>
      <c r="L885" t="str">
        <f>"Q"&amp;ROUNDUP(MONTH(SalesData[[#This Row],[Date]])/3,0)</f>
        <v>Q2</v>
      </c>
      <c r="M885" s="1" t="d">
        <f>DATE(YEAR(SalesData[[#This Row],[Date]]),MONTH(SalesData[[#This Row],[Date]]),1)</f>
        <v>2023-04-01</v>
      </c>
      <c r="N88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86" spans="1:14">
      <c r="A886">
        <v>885</v>
      </c>
      <c r="B886" s="1" t="d">
        <v>2023-03-03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t="str">
        <f>TEXT(SalesData[[#This Row],[Date]],"yyyy-mm")</f>
        <v>2023-03</v>
      </c>
      <c r="K886">
        <f>YEAR(SalesData[[#This Row],[Date]])</f>
        <v>2023</v>
      </c>
      <c r="L886" t="str">
        <f>"Q"&amp;ROUNDUP(MONTH(SalesData[[#This Row],[Date]])/3,0)</f>
        <v>Q1</v>
      </c>
      <c r="M886" s="1" t="d">
        <f>DATE(YEAR(SalesData[[#This Row],[Date]]),MONTH(SalesData[[#This Row],[Date]]),1)</f>
        <v>2023-03-01</v>
      </c>
      <c r="N88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87" spans="1:14">
      <c r="A887">
        <v>886</v>
      </c>
      <c r="B887" s="1" t="d">
        <v>2023-04-09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t="str">
        <f>TEXT(SalesData[[#This Row],[Date]],"yyyy-mm")</f>
        <v>2023-04</v>
      </c>
      <c r="K887">
        <f>YEAR(SalesData[[#This Row],[Date]])</f>
        <v>2023</v>
      </c>
      <c r="L887" t="str">
        <f>"Q"&amp;ROUNDUP(MONTH(SalesData[[#This Row],[Date]])/3,0)</f>
        <v>Q2</v>
      </c>
      <c r="M887" s="1" t="d">
        <f>DATE(YEAR(SalesData[[#This Row],[Date]]),MONTH(SalesData[[#This Row],[Date]]),1)</f>
        <v>2023-04-01</v>
      </c>
      <c r="N88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88" spans="1:14">
      <c r="A888">
        <v>887</v>
      </c>
      <c r="B888" s="1" t="d">
        <v>2023-06-11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t="str">
        <f>TEXT(SalesData[[#This Row],[Date]],"yyyy-mm")</f>
        <v>2023-06</v>
      </c>
      <c r="K888">
        <f>YEAR(SalesData[[#This Row],[Date]])</f>
        <v>2023</v>
      </c>
      <c r="L888" t="str">
        <f>"Q"&amp;ROUNDUP(MONTH(SalesData[[#This Row],[Date]])/3,0)</f>
        <v>Q2</v>
      </c>
      <c r="M888" s="1" t="d">
        <f>DATE(YEAR(SalesData[[#This Row],[Date]]),MONTH(SalesData[[#This Row],[Date]]),1)</f>
        <v>2023-06-01</v>
      </c>
      <c r="N88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89" spans="1:14">
      <c r="A889">
        <v>888</v>
      </c>
      <c r="B889" s="1" t="d">
        <v>2023-03-03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t="str">
        <f>TEXT(SalesData[[#This Row],[Date]],"yyyy-mm")</f>
        <v>2023-03</v>
      </c>
      <c r="K889">
        <f>YEAR(SalesData[[#This Row],[Date]])</f>
        <v>2023</v>
      </c>
      <c r="L889" t="str">
        <f>"Q"&amp;ROUNDUP(MONTH(SalesData[[#This Row],[Date]])/3,0)</f>
        <v>Q1</v>
      </c>
      <c r="M889" s="1" t="d">
        <f>DATE(YEAR(SalesData[[#This Row],[Date]]),MONTH(SalesData[[#This Row],[Date]]),1)</f>
        <v>2023-03-01</v>
      </c>
      <c r="N8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90" spans="1:14">
      <c r="A890">
        <v>889</v>
      </c>
      <c r="B890" s="1" t="d">
        <v>2023-10-02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t="str">
        <f>TEXT(SalesData[[#This Row],[Date]],"yyyy-mm")</f>
        <v>2023-10</v>
      </c>
      <c r="K890">
        <f>YEAR(SalesData[[#This Row],[Date]])</f>
        <v>2023</v>
      </c>
      <c r="L890" t="str">
        <f>"Q"&amp;ROUNDUP(MONTH(SalesData[[#This Row],[Date]])/3,0)</f>
        <v>Q4</v>
      </c>
      <c r="M890" s="1" t="d">
        <f>DATE(YEAR(SalesData[[#This Row],[Date]]),MONTH(SalesData[[#This Row],[Date]]),1)</f>
        <v>2023-10-01</v>
      </c>
      <c r="N89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91" spans="1:14">
      <c r="A891">
        <v>890</v>
      </c>
      <c r="B891" s="1" t="d">
        <v>2023-12-20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t="str">
        <f>TEXT(SalesData[[#This Row],[Date]],"yyyy-mm")</f>
        <v>2023-12</v>
      </c>
      <c r="K891">
        <f>YEAR(SalesData[[#This Row],[Date]])</f>
        <v>2023</v>
      </c>
      <c r="L891" t="str">
        <f>"Q"&amp;ROUNDUP(MONTH(SalesData[[#This Row],[Date]])/3,0)</f>
        <v>Q4</v>
      </c>
      <c r="M891" s="1" t="d">
        <f>DATE(YEAR(SalesData[[#This Row],[Date]]),MONTH(SalesData[[#This Row],[Date]]),1)</f>
        <v>2023-12-01</v>
      </c>
      <c r="N89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92" spans="1:14">
      <c r="A892">
        <v>891</v>
      </c>
      <c r="B892" s="1" t="d">
        <v>2023-04-05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t="str">
        <f>TEXT(SalesData[[#This Row],[Date]],"yyyy-mm")</f>
        <v>2023-04</v>
      </c>
      <c r="K892">
        <f>YEAR(SalesData[[#This Row],[Date]])</f>
        <v>2023</v>
      </c>
      <c r="L892" t="str">
        <f>"Q"&amp;ROUNDUP(MONTH(SalesData[[#This Row],[Date]])/3,0)</f>
        <v>Q2</v>
      </c>
      <c r="M892" s="1" t="d">
        <f>DATE(YEAR(SalesData[[#This Row],[Date]]),MONTH(SalesData[[#This Row],[Date]]),1)</f>
        <v>2023-04-01</v>
      </c>
      <c r="N89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93" spans="1:14">
      <c r="A893">
        <v>892</v>
      </c>
      <c r="B893" s="1" t="d">
        <v>2023-04-09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t="str">
        <f>TEXT(SalesData[[#This Row],[Date]],"yyyy-mm")</f>
        <v>2023-04</v>
      </c>
      <c r="K893">
        <f>YEAR(SalesData[[#This Row],[Date]])</f>
        <v>2023</v>
      </c>
      <c r="L893" t="str">
        <f>"Q"&amp;ROUNDUP(MONTH(SalesData[[#This Row],[Date]])/3,0)</f>
        <v>Q2</v>
      </c>
      <c r="M893" s="1" t="d">
        <f>DATE(YEAR(SalesData[[#This Row],[Date]]),MONTH(SalesData[[#This Row],[Date]]),1)</f>
        <v>2023-04-01</v>
      </c>
      <c r="N893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894" spans="1:14">
      <c r="A894">
        <v>893</v>
      </c>
      <c r="B894" s="1" t="d">
        <v>2023-04-21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t="str">
        <f>TEXT(SalesData[[#This Row],[Date]],"yyyy-mm")</f>
        <v>2023-04</v>
      </c>
      <c r="K894">
        <f>YEAR(SalesData[[#This Row],[Date]])</f>
        <v>2023</v>
      </c>
      <c r="L894" t="str">
        <f>"Q"&amp;ROUNDUP(MONTH(SalesData[[#This Row],[Date]])/3,0)</f>
        <v>Q2</v>
      </c>
      <c r="M894" s="1" t="d">
        <f>DATE(YEAR(SalesData[[#This Row],[Date]]),MONTH(SalesData[[#This Row],[Date]]),1)</f>
        <v>2023-04-01</v>
      </c>
      <c r="N89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895" spans="1:14">
      <c r="A895">
        <v>894</v>
      </c>
      <c r="B895" s="1" t="d">
        <v>2023-09-05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t="str">
        <f>TEXT(SalesData[[#This Row],[Date]],"yyyy-mm")</f>
        <v>2023-09</v>
      </c>
      <c r="K895">
        <f>YEAR(SalesData[[#This Row],[Date]])</f>
        <v>2023</v>
      </c>
      <c r="L895" t="str">
        <f>"Q"&amp;ROUNDUP(MONTH(SalesData[[#This Row],[Date]])/3,0)</f>
        <v>Q3</v>
      </c>
      <c r="M895" s="1" t="d">
        <f>DATE(YEAR(SalesData[[#This Row],[Date]]),MONTH(SalesData[[#This Row],[Date]]),1)</f>
        <v>2023-09-01</v>
      </c>
      <c r="N89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96" spans="1:14">
      <c r="A896">
        <v>895</v>
      </c>
      <c r="B896" s="1" t="d">
        <v>2023-05-22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t="str">
        <f>TEXT(SalesData[[#This Row],[Date]],"yyyy-mm")</f>
        <v>2023-05</v>
      </c>
      <c r="K896">
        <f>YEAR(SalesData[[#This Row],[Date]])</f>
        <v>2023</v>
      </c>
      <c r="L896" t="str">
        <f>"Q"&amp;ROUNDUP(MONTH(SalesData[[#This Row],[Date]])/3,0)</f>
        <v>Q2</v>
      </c>
      <c r="M896" s="1" t="d">
        <f>DATE(YEAR(SalesData[[#This Row],[Date]]),MONTH(SalesData[[#This Row],[Date]]),1)</f>
        <v>2023-05-01</v>
      </c>
      <c r="N89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97" spans="1:14">
      <c r="A897">
        <v>896</v>
      </c>
      <c r="B897" s="1" t="d">
        <v>2023-10-29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t="str">
        <f>TEXT(SalesData[[#This Row],[Date]],"yyyy-mm")</f>
        <v>2023-10</v>
      </c>
      <c r="K897">
        <f>YEAR(SalesData[[#This Row],[Date]])</f>
        <v>2023</v>
      </c>
      <c r="L897" t="str">
        <f>"Q"&amp;ROUNDUP(MONTH(SalesData[[#This Row],[Date]])/3,0)</f>
        <v>Q4</v>
      </c>
      <c r="M897" s="1" t="d">
        <f>DATE(YEAR(SalesData[[#This Row],[Date]]),MONTH(SalesData[[#This Row],[Date]]),1)</f>
        <v>2023-10-01</v>
      </c>
      <c r="N89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898" spans="1:14">
      <c r="A898">
        <v>897</v>
      </c>
      <c r="B898" s="1" t="d">
        <v>2023-09-26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t="str">
        <f>TEXT(SalesData[[#This Row],[Date]],"yyyy-mm")</f>
        <v>2023-09</v>
      </c>
      <c r="K898">
        <f>YEAR(SalesData[[#This Row],[Date]])</f>
        <v>2023</v>
      </c>
      <c r="L898" t="str">
        <f>"Q"&amp;ROUNDUP(MONTH(SalesData[[#This Row],[Date]])/3,0)</f>
        <v>Q3</v>
      </c>
      <c r="M898" s="1" t="d">
        <f>DATE(YEAR(SalesData[[#This Row],[Date]]),MONTH(SalesData[[#This Row],[Date]]),1)</f>
        <v>2023-09-01</v>
      </c>
      <c r="N89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899" spans="1:14">
      <c r="A899">
        <v>898</v>
      </c>
      <c r="B899" s="1" t="d">
        <v>2023-11-02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t="str">
        <f>TEXT(SalesData[[#This Row],[Date]],"yyyy-mm")</f>
        <v>2023-11</v>
      </c>
      <c r="K899">
        <f>YEAR(SalesData[[#This Row],[Date]])</f>
        <v>2023</v>
      </c>
      <c r="L899" t="str">
        <f>"Q"&amp;ROUNDUP(MONTH(SalesData[[#This Row],[Date]])/3,0)</f>
        <v>Q4</v>
      </c>
      <c r="M899" s="1" t="d">
        <f>DATE(YEAR(SalesData[[#This Row],[Date]]),MONTH(SalesData[[#This Row],[Date]]),1)</f>
        <v>2023-11-01</v>
      </c>
      <c r="N89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00" spans="1:14">
      <c r="A900">
        <v>899</v>
      </c>
      <c r="B900" s="1" t="d">
        <v>2023-05-25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t="str">
        <f>TEXT(SalesData[[#This Row],[Date]],"yyyy-mm")</f>
        <v>2023-05</v>
      </c>
      <c r="K900">
        <f>YEAR(SalesData[[#This Row],[Date]])</f>
        <v>2023</v>
      </c>
      <c r="L900" t="str">
        <f>"Q"&amp;ROUNDUP(MONTH(SalesData[[#This Row],[Date]])/3,0)</f>
        <v>Q2</v>
      </c>
      <c r="M900" s="1" t="d">
        <f>DATE(YEAR(SalesData[[#This Row],[Date]]),MONTH(SalesData[[#This Row],[Date]]),1)</f>
        <v>2023-05-01</v>
      </c>
      <c r="N90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01" spans="1:14">
      <c r="A901">
        <v>900</v>
      </c>
      <c r="B901" s="1" t="d">
        <v>2023-02-21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t="str">
        <f>TEXT(SalesData[[#This Row],[Date]],"yyyy-mm")</f>
        <v>2023-02</v>
      </c>
      <c r="K901">
        <f>YEAR(SalesData[[#This Row],[Date]])</f>
        <v>2023</v>
      </c>
      <c r="L901" t="str">
        <f>"Q"&amp;ROUNDUP(MONTH(SalesData[[#This Row],[Date]])/3,0)</f>
        <v>Q1</v>
      </c>
      <c r="M901" s="1" t="d">
        <f>DATE(YEAR(SalesData[[#This Row],[Date]]),MONTH(SalesData[[#This Row],[Date]]),1)</f>
        <v>2023-02-01</v>
      </c>
      <c r="N90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02" spans="1:14">
      <c r="A902">
        <v>901</v>
      </c>
      <c r="B902" s="1" t="d">
        <v>2023-04-10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t="str">
        <f>TEXT(SalesData[[#This Row],[Date]],"yyyy-mm")</f>
        <v>2023-04</v>
      </c>
      <c r="K902">
        <f>YEAR(SalesData[[#This Row],[Date]])</f>
        <v>2023</v>
      </c>
      <c r="L902" t="str">
        <f>"Q"&amp;ROUNDUP(MONTH(SalesData[[#This Row],[Date]])/3,0)</f>
        <v>Q2</v>
      </c>
      <c r="M902" s="1" t="d">
        <f>DATE(YEAR(SalesData[[#This Row],[Date]]),MONTH(SalesData[[#This Row],[Date]]),1)</f>
        <v>2023-04-01</v>
      </c>
      <c r="N90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03" spans="1:14">
      <c r="A903">
        <v>902</v>
      </c>
      <c r="B903" s="1" t="d">
        <v>2023-06-01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t="str">
        <f>TEXT(SalesData[[#This Row],[Date]],"yyyy-mm")</f>
        <v>2023-06</v>
      </c>
      <c r="K903">
        <f>YEAR(SalesData[[#This Row],[Date]])</f>
        <v>2023</v>
      </c>
      <c r="L903" t="str">
        <f>"Q"&amp;ROUNDUP(MONTH(SalesData[[#This Row],[Date]])/3,0)</f>
        <v>Q2</v>
      </c>
      <c r="M903" s="1" t="d">
        <f>DATE(YEAR(SalesData[[#This Row],[Date]]),MONTH(SalesData[[#This Row],[Date]]),1)</f>
        <v>2023-06-01</v>
      </c>
      <c r="N90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04" spans="1:14">
      <c r="A904">
        <v>903</v>
      </c>
      <c r="B904" s="1" t="d">
        <v>2023-04-27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t="str">
        <f>TEXT(SalesData[[#This Row],[Date]],"yyyy-mm")</f>
        <v>2023-04</v>
      </c>
      <c r="K904">
        <f>YEAR(SalesData[[#This Row],[Date]])</f>
        <v>2023</v>
      </c>
      <c r="L904" t="str">
        <f>"Q"&amp;ROUNDUP(MONTH(SalesData[[#This Row],[Date]])/3,0)</f>
        <v>Q2</v>
      </c>
      <c r="M904" s="1" t="d">
        <f>DATE(YEAR(SalesData[[#This Row],[Date]]),MONTH(SalesData[[#This Row],[Date]]),1)</f>
        <v>2023-04-01</v>
      </c>
      <c r="N90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05" spans="1:14">
      <c r="A905">
        <v>904</v>
      </c>
      <c r="B905" s="1" t="d">
        <v>2023-07-04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t="str">
        <f>TEXT(SalesData[[#This Row],[Date]],"yyyy-mm")</f>
        <v>2023-07</v>
      </c>
      <c r="K905">
        <f>YEAR(SalesData[[#This Row],[Date]])</f>
        <v>2023</v>
      </c>
      <c r="L905" t="str">
        <f>"Q"&amp;ROUNDUP(MONTH(SalesData[[#This Row],[Date]])/3,0)</f>
        <v>Q3</v>
      </c>
      <c r="M905" s="1" t="d">
        <f>DATE(YEAR(SalesData[[#This Row],[Date]]),MONTH(SalesData[[#This Row],[Date]]),1)</f>
        <v>2023-07-01</v>
      </c>
      <c r="N90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06" spans="1:14">
      <c r="A906">
        <v>905</v>
      </c>
      <c r="B906" s="1" t="d">
        <v>2023-04-02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t="str">
        <f>TEXT(SalesData[[#This Row],[Date]],"yyyy-mm")</f>
        <v>2023-04</v>
      </c>
      <c r="K906">
        <f>YEAR(SalesData[[#This Row],[Date]])</f>
        <v>2023</v>
      </c>
      <c r="L906" t="str">
        <f>"Q"&amp;ROUNDUP(MONTH(SalesData[[#This Row],[Date]])/3,0)</f>
        <v>Q2</v>
      </c>
      <c r="M906" s="1" t="d">
        <f>DATE(YEAR(SalesData[[#This Row],[Date]]),MONTH(SalesData[[#This Row],[Date]]),1)</f>
        <v>2023-04-01</v>
      </c>
      <c r="N90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07" spans="1:14">
      <c r="A907">
        <v>906</v>
      </c>
      <c r="B907" s="1" t="d">
        <v>2023-06-04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t="str">
        <f>TEXT(SalesData[[#This Row],[Date]],"yyyy-mm")</f>
        <v>2023-06</v>
      </c>
      <c r="K907">
        <f>YEAR(SalesData[[#This Row],[Date]])</f>
        <v>2023</v>
      </c>
      <c r="L907" t="str">
        <f>"Q"&amp;ROUNDUP(MONTH(SalesData[[#This Row],[Date]])/3,0)</f>
        <v>Q2</v>
      </c>
      <c r="M907" s="1" t="d">
        <f>DATE(YEAR(SalesData[[#This Row],[Date]]),MONTH(SalesData[[#This Row],[Date]]),1)</f>
        <v>2023-06-01</v>
      </c>
      <c r="N90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08" spans="1:14">
      <c r="A908">
        <v>907</v>
      </c>
      <c r="B908" s="1" t="d">
        <v>2023-01-08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t="str">
        <f>TEXT(SalesData[[#This Row],[Date]],"yyyy-mm")</f>
        <v>2023-01</v>
      </c>
      <c r="K908">
        <f>YEAR(SalesData[[#This Row],[Date]])</f>
        <v>2023</v>
      </c>
      <c r="L908" t="str">
        <f>"Q"&amp;ROUNDUP(MONTH(SalesData[[#This Row],[Date]])/3,0)</f>
        <v>Q1</v>
      </c>
      <c r="M908" s="1" t="d">
        <f>DATE(YEAR(SalesData[[#This Row],[Date]]),MONTH(SalesData[[#This Row],[Date]]),1)</f>
        <v>2023-01-01</v>
      </c>
      <c r="N90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09" spans="1:14">
      <c r="A909">
        <v>908</v>
      </c>
      <c r="B909" s="1" t="d">
        <v>2023-12-29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t="str">
        <f>TEXT(SalesData[[#This Row],[Date]],"yyyy-mm")</f>
        <v>2023-12</v>
      </c>
      <c r="K909">
        <f>YEAR(SalesData[[#This Row],[Date]])</f>
        <v>2023</v>
      </c>
      <c r="L909" t="str">
        <f>"Q"&amp;ROUNDUP(MONTH(SalesData[[#This Row],[Date]])/3,0)</f>
        <v>Q4</v>
      </c>
      <c r="M909" s="1" t="d">
        <f>DATE(YEAR(SalesData[[#This Row],[Date]]),MONTH(SalesData[[#This Row],[Date]]),1)</f>
        <v>2023-12-01</v>
      </c>
      <c r="N90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10" spans="1:14">
      <c r="A910">
        <v>909</v>
      </c>
      <c r="B910" s="1" t="d">
        <v>2023-10-01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t="str">
        <f>TEXT(SalesData[[#This Row],[Date]],"yyyy-mm")</f>
        <v>2023-10</v>
      </c>
      <c r="K910">
        <f>YEAR(SalesData[[#This Row],[Date]])</f>
        <v>2023</v>
      </c>
      <c r="L910" t="str">
        <f>"Q"&amp;ROUNDUP(MONTH(SalesData[[#This Row],[Date]])/3,0)</f>
        <v>Q4</v>
      </c>
      <c r="M910" s="1" t="d">
        <f>DATE(YEAR(SalesData[[#This Row],[Date]]),MONTH(SalesData[[#This Row],[Date]]),1)</f>
        <v>2023-10-01</v>
      </c>
      <c r="N91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11" spans="1:14">
      <c r="A911">
        <v>910</v>
      </c>
      <c r="B911" s="1" t="d">
        <v>2023-03-06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t="str">
        <f>TEXT(SalesData[[#This Row],[Date]],"yyyy-mm")</f>
        <v>2023-03</v>
      </c>
      <c r="K911">
        <f>YEAR(SalesData[[#This Row],[Date]])</f>
        <v>2023</v>
      </c>
      <c r="L911" t="str">
        <f>"Q"&amp;ROUNDUP(MONTH(SalesData[[#This Row],[Date]])/3,0)</f>
        <v>Q1</v>
      </c>
      <c r="M911" s="1" t="d">
        <f>DATE(YEAR(SalesData[[#This Row],[Date]]),MONTH(SalesData[[#This Row],[Date]]),1)</f>
        <v>2023-03-01</v>
      </c>
      <c r="N91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12" spans="1:14">
      <c r="A912">
        <v>911</v>
      </c>
      <c r="B912" s="1" t="d">
        <v>2023-05-21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t="str">
        <f>TEXT(SalesData[[#This Row],[Date]],"yyyy-mm")</f>
        <v>2023-05</v>
      </c>
      <c r="K912">
        <f>YEAR(SalesData[[#This Row],[Date]])</f>
        <v>2023</v>
      </c>
      <c r="L912" t="str">
        <f>"Q"&amp;ROUNDUP(MONTH(SalesData[[#This Row],[Date]])/3,0)</f>
        <v>Q2</v>
      </c>
      <c r="M912" s="1" t="d">
        <f>DATE(YEAR(SalesData[[#This Row],[Date]]),MONTH(SalesData[[#This Row],[Date]]),1)</f>
        <v>2023-05-01</v>
      </c>
      <c r="N912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13" spans="1:14">
      <c r="A913">
        <v>912</v>
      </c>
      <c r="B913" s="1" t="d">
        <v>2023-01-24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t="str">
        <f>TEXT(SalesData[[#This Row],[Date]],"yyyy-mm")</f>
        <v>2023-01</v>
      </c>
      <c r="K913">
        <f>YEAR(SalesData[[#This Row],[Date]])</f>
        <v>2023</v>
      </c>
      <c r="L913" t="str">
        <f>"Q"&amp;ROUNDUP(MONTH(SalesData[[#This Row],[Date]])/3,0)</f>
        <v>Q1</v>
      </c>
      <c r="M913" s="1" t="d">
        <f>DATE(YEAR(SalesData[[#This Row],[Date]]),MONTH(SalesData[[#This Row],[Date]]),1)</f>
        <v>2023-01-01</v>
      </c>
      <c r="N91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14" spans="1:14">
      <c r="A914">
        <v>913</v>
      </c>
      <c r="B914" s="1" t="d">
        <v>2023-01-28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t="str">
        <f>TEXT(SalesData[[#This Row],[Date]],"yyyy-mm")</f>
        <v>2023-01</v>
      </c>
      <c r="K914">
        <f>YEAR(SalesData[[#This Row],[Date]])</f>
        <v>2023</v>
      </c>
      <c r="L914" t="str">
        <f>"Q"&amp;ROUNDUP(MONTH(SalesData[[#This Row],[Date]])/3,0)</f>
        <v>Q1</v>
      </c>
      <c r="M914" s="1" t="d">
        <f>DATE(YEAR(SalesData[[#This Row],[Date]]),MONTH(SalesData[[#This Row],[Date]]),1)</f>
        <v>2023-01-01</v>
      </c>
      <c r="N91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15" spans="1:14">
      <c r="A915">
        <v>914</v>
      </c>
      <c r="B915" s="1" t="d">
        <v>2023-10-11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t="str">
        <f>TEXT(SalesData[[#This Row],[Date]],"yyyy-mm")</f>
        <v>2023-10</v>
      </c>
      <c r="K915">
        <f>YEAR(SalesData[[#This Row],[Date]])</f>
        <v>2023</v>
      </c>
      <c r="L915" t="str">
        <f>"Q"&amp;ROUNDUP(MONTH(SalesData[[#This Row],[Date]])/3,0)</f>
        <v>Q4</v>
      </c>
      <c r="M915" s="1" t="d">
        <f>DATE(YEAR(SalesData[[#This Row],[Date]]),MONTH(SalesData[[#This Row],[Date]]),1)</f>
        <v>2023-10-01</v>
      </c>
      <c r="N91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16" spans="1:14">
      <c r="A916">
        <v>915</v>
      </c>
      <c r="B916" s="1" t="d">
        <v>2023-05-30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t="str">
        <f>TEXT(SalesData[[#This Row],[Date]],"yyyy-mm")</f>
        <v>2023-05</v>
      </c>
      <c r="K916">
        <f>YEAR(SalesData[[#This Row],[Date]])</f>
        <v>2023</v>
      </c>
      <c r="L916" t="str">
        <f>"Q"&amp;ROUNDUP(MONTH(SalesData[[#This Row],[Date]])/3,0)</f>
        <v>Q2</v>
      </c>
      <c r="M916" s="1" t="d">
        <f>DATE(YEAR(SalesData[[#This Row],[Date]]),MONTH(SalesData[[#This Row],[Date]]),1)</f>
        <v>2023-05-01</v>
      </c>
      <c r="N91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17" spans="1:14">
      <c r="A917">
        <v>916</v>
      </c>
      <c r="B917" s="1" t="d">
        <v>2023-12-24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t="str">
        <f>TEXT(SalesData[[#This Row],[Date]],"yyyy-mm")</f>
        <v>2023-12</v>
      </c>
      <c r="K917">
        <f>YEAR(SalesData[[#This Row],[Date]])</f>
        <v>2023</v>
      </c>
      <c r="L917" t="str">
        <f>"Q"&amp;ROUNDUP(MONTH(SalesData[[#This Row],[Date]])/3,0)</f>
        <v>Q4</v>
      </c>
      <c r="M917" s="1" t="d">
        <f>DATE(YEAR(SalesData[[#This Row],[Date]]),MONTH(SalesData[[#This Row],[Date]]),1)</f>
        <v>2023-12-01</v>
      </c>
      <c r="N91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18" spans="1:14">
      <c r="A918">
        <v>917</v>
      </c>
      <c r="B918" s="1" t="d">
        <v>2023-03-06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t="str">
        <f>TEXT(SalesData[[#This Row],[Date]],"yyyy-mm")</f>
        <v>2023-03</v>
      </c>
      <c r="K918">
        <f>YEAR(SalesData[[#This Row],[Date]])</f>
        <v>2023</v>
      </c>
      <c r="L918" t="str">
        <f>"Q"&amp;ROUNDUP(MONTH(SalesData[[#This Row],[Date]])/3,0)</f>
        <v>Q1</v>
      </c>
      <c r="M918" s="1" t="d">
        <f>DATE(YEAR(SalesData[[#This Row],[Date]]),MONTH(SalesData[[#This Row],[Date]]),1)</f>
        <v>2023-03-01</v>
      </c>
      <c r="N91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19" spans="1:14">
      <c r="A919">
        <v>918</v>
      </c>
      <c r="B919" s="1" t="d">
        <v>2023-11-23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t="str">
        <f>TEXT(SalesData[[#This Row],[Date]],"yyyy-mm")</f>
        <v>2023-11</v>
      </c>
      <c r="K919">
        <f>YEAR(SalesData[[#This Row],[Date]])</f>
        <v>2023</v>
      </c>
      <c r="L919" t="str">
        <f>"Q"&amp;ROUNDUP(MONTH(SalesData[[#This Row],[Date]])/3,0)</f>
        <v>Q4</v>
      </c>
      <c r="M919" s="1" t="d">
        <f>DATE(YEAR(SalesData[[#This Row],[Date]]),MONTH(SalesData[[#This Row],[Date]]),1)</f>
        <v>2023-11-01</v>
      </c>
      <c r="N91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20" spans="1:14">
      <c r="A920">
        <v>919</v>
      </c>
      <c r="B920" s="1" t="d">
        <v>2023-09-09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t="str">
        <f>TEXT(SalesData[[#This Row],[Date]],"yyyy-mm")</f>
        <v>2023-09</v>
      </c>
      <c r="K920">
        <f>YEAR(SalesData[[#This Row],[Date]])</f>
        <v>2023</v>
      </c>
      <c r="L920" t="str">
        <f>"Q"&amp;ROUNDUP(MONTH(SalesData[[#This Row],[Date]])/3,0)</f>
        <v>Q3</v>
      </c>
      <c r="M920" s="1" t="d">
        <f>DATE(YEAR(SalesData[[#This Row],[Date]]),MONTH(SalesData[[#This Row],[Date]]),1)</f>
        <v>2023-09-01</v>
      </c>
      <c r="N92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21" spans="1:14">
      <c r="A921">
        <v>920</v>
      </c>
      <c r="B921" s="1" t="d">
        <v>2023-02-22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t="str">
        <f>TEXT(SalesData[[#This Row],[Date]],"yyyy-mm")</f>
        <v>2023-02</v>
      </c>
      <c r="K921">
        <f>YEAR(SalesData[[#This Row],[Date]])</f>
        <v>2023</v>
      </c>
      <c r="L921" t="str">
        <f>"Q"&amp;ROUNDUP(MONTH(SalesData[[#This Row],[Date]])/3,0)</f>
        <v>Q1</v>
      </c>
      <c r="M921" s="1" t="d">
        <f>DATE(YEAR(SalesData[[#This Row],[Date]]),MONTH(SalesData[[#This Row],[Date]]),1)</f>
        <v>2023-02-01</v>
      </c>
      <c r="N92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22" spans="1:14">
      <c r="A922">
        <v>921</v>
      </c>
      <c r="B922" s="1" t="d">
        <v>2023-01-07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t="str">
        <f>TEXT(SalesData[[#This Row],[Date]],"yyyy-mm")</f>
        <v>2023-01</v>
      </c>
      <c r="K922">
        <f>YEAR(SalesData[[#This Row],[Date]])</f>
        <v>2023</v>
      </c>
      <c r="L922" t="str">
        <f>"Q"&amp;ROUNDUP(MONTH(SalesData[[#This Row],[Date]])/3,0)</f>
        <v>Q1</v>
      </c>
      <c r="M922" s="1" t="d">
        <f>DATE(YEAR(SalesData[[#This Row],[Date]]),MONTH(SalesData[[#This Row],[Date]]),1)</f>
        <v>2023-01-01</v>
      </c>
      <c r="N92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23" spans="1:14">
      <c r="A923">
        <v>922</v>
      </c>
      <c r="B923" s="1" t="d">
        <v>2023-10-21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t="str">
        <f>TEXT(SalesData[[#This Row],[Date]],"yyyy-mm")</f>
        <v>2023-10</v>
      </c>
      <c r="K923">
        <f>YEAR(SalesData[[#This Row],[Date]])</f>
        <v>2023</v>
      </c>
      <c r="L923" t="str">
        <f>"Q"&amp;ROUNDUP(MONTH(SalesData[[#This Row],[Date]])/3,0)</f>
        <v>Q4</v>
      </c>
      <c r="M923" s="1" t="d">
        <f>DATE(YEAR(SalesData[[#This Row],[Date]]),MONTH(SalesData[[#This Row],[Date]]),1)</f>
        <v>2023-10-01</v>
      </c>
      <c r="N92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24" spans="1:14">
      <c r="A924">
        <v>923</v>
      </c>
      <c r="B924" s="1" t="d">
        <v>2023-05-26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t="str">
        <f>TEXT(SalesData[[#This Row],[Date]],"yyyy-mm")</f>
        <v>2023-05</v>
      </c>
      <c r="K924">
        <f>YEAR(SalesData[[#This Row],[Date]])</f>
        <v>2023</v>
      </c>
      <c r="L924" t="str">
        <f>"Q"&amp;ROUNDUP(MONTH(SalesData[[#This Row],[Date]])/3,0)</f>
        <v>Q2</v>
      </c>
      <c r="M924" s="1" t="d">
        <f>DATE(YEAR(SalesData[[#This Row],[Date]]),MONTH(SalesData[[#This Row],[Date]]),1)</f>
        <v>2023-05-01</v>
      </c>
      <c r="N924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25" spans="1:14">
      <c r="A925">
        <v>924</v>
      </c>
      <c r="B925" s="1" t="d">
        <v>2023-08-29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t="str">
        <f>TEXT(SalesData[[#This Row],[Date]],"yyyy-mm")</f>
        <v>2023-08</v>
      </c>
      <c r="K925">
        <f>YEAR(SalesData[[#This Row],[Date]])</f>
        <v>2023</v>
      </c>
      <c r="L925" t="str">
        <f>"Q"&amp;ROUNDUP(MONTH(SalesData[[#This Row],[Date]])/3,0)</f>
        <v>Q3</v>
      </c>
      <c r="M925" s="1" t="d">
        <f>DATE(YEAR(SalesData[[#This Row],[Date]]),MONTH(SalesData[[#This Row],[Date]]),1)</f>
        <v>2023-08-01</v>
      </c>
      <c r="N92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26" spans="1:14">
      <c r="A926">
        <v>925</v>
      </c>
      <c r="B926" s="1" t="d">
        <v>2023-09-03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t="str">
        <f>TEXT(SalesData[[#This Row],[Date]],"yyyy-mm")</f>
        <v>2023-09</v>
      </c>
      <c r="K926">
        <f>YEAR(SalesData[[#This Row],[Date]])</f>
        <v>2023</v>
      </c>
      <c r="L926" t="str">
        <f>"Q"&amp;ROUNDUP(MONTH(SalesData[[#This Row],[Date]])/3,0)</f>
        <v>Q3</v>
      </c>
      <c r="M926" s="1" t="d">
        <f>DATE(YEAR(SalesData[[#This Row],[Date]]),MONTH(SalesData[[#This Row],[Date]]),1)</f>
        <v>2023-09-01</v>
      </c>
      <c r="N92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27" spans="1:14">
      <c r="A927">
        <v>926</v>
      </c>
      <c r="B927" s="1" t="d">
        <v>2023-08-14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t="str">
        <f>TEXT(SalesData[[#This Row],[Date]],"yyyy-mm")</f>
        <v>2023-08</v>
      </c>
      <c r="K927">
        <f>YEAR(SalesData[[#This Row],[Date]])</f>
        <v>2023</v>
      </c>
      <c r="L927" t="str">
        <f>"Q"&amp;ROUNDUP(MONTH(SalesData[[#This Row],[Date]])/3,0)</f>
        <v>Q3</v>
      </c>
      <c r="M927" s="1" t="d">
        <f>DATE(YEAR(SalesData[[#This Row],[Date]]),MONTH(SalesData[[#This Row],[Date]]),1)</f>
        <v>2023-08-01</v>
      </c>
      <c r="N927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28" spans="1:14">
      <c r="A928">
        <v>927</v>
      </c>
      <c r="B928" s="1" t="d">
        <v>2023-06-24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t="str">
        <f>TEXT(SalesData[[#This Row],[Date]],"yyyy-mm")</f>
        <v>2023-06</v>
      </c>
      <c r="K928">
        <f>YEAR(SalesData[[#This Row],[Date]])</f>
        <v>2023</v>
      </c>
      <c r="L928" t="str">
        <f>"Q"&amp;ROUNDUP(MONTH(SalesData[[#This Row],[Date]])/3,0)</f>
        <v>Q2</v>
      </c>
      <c r="M928" s="1" t="d">
        <f>DATE(YEAR(SalesData[[#This Row],[Date]]),MONTH(SalesData[[#This Row],[Date]]),1)</f>
        <v>2023-06-01</v>
      </c>
      <c r="N928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29" spans="1:14">
      <c r="A929">
        <v>928</v>
      </c>
      <c r="B929" s="1" t="d">
        <v>2023-04-05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t="str">
        <f>TEXT(SalesData[[#This Row],[Date]],"yyyy-mm")</f>
        <v>2023-04</v>
      </c>
      <c r="K929">
        <f>YEAR(SalesData[[#This Row],[Date]])</f>
        <v>2023</v>
      </c>
      <c r="L929" t="str">
        <f>"Q"&amp;ROUNDUP(MONTH(SalesData[[#This Row],[Date]])/3,0)</f>
        <v>Q2</v>
      </c>
      <c r="M929" s="1" t="d">
        <f>DATE(YEAR(SalesData[[#This Row],[Date]]),MONTH(SalesData[[#This Row],[Date]]),1)</f>
        <v>2023-04-01</v>
      </c>
      <c r="N929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30" spans="1:14">
      <c r="A930">
        <v>929</v>
      </c>
      <c r="B930" s="1" t="d">
        <v>2023-01-27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t="str">
        <f>TEXT(SalesData[[#This Row],[Date]],"yyyy-mm")</f>
        <v>2023-01</v>
      </c>
      <c r="K930">
        <f>YEAR(SalesData[[#This Row],[Date]])</f>
        <v>2023</v>
      </c>
      <c r="L930" t="str">
        <f>"Q"&amp;ROUNDUP(MONTH(SalesData[[#This Row],[Date]])/3,0)</f>
        <v>Q1</v>
      </c>
      <c r="M930" s="1" t="d">
        <f>DATE(YEAR(SalesData[[#This Row],[Date]]),MONTH(SalesData[[#This Row],[Date]]),1)</f>
        <v>2023-01-01</v>
      </c>
      <c r="N930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31" spans="1:14">
      <c r="A931">
        <v>930</v>
      </c>
      <c r="B931" s="1" t="d">
        <v>2023-05-10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t="str">
        <f>TEXT(SalesData[[#This Row],[Date]],"yyyy-mm")</f>
        <v>2023-05</v>
      </c>
      <c r="K931">
        <f>YEAR(SalesData[[#This Row],[Date]])</f>
        <v>2023</v>
      </c>
      <c r="L931" t="str">
        <f>"Q"&amp;ROUNDUP(MONTH(SalesData[[#This Row],[Date]])/3,0)</f>
        <v>Q2</v>
      </c>
      <c r="M931" s="1" t="d">
        <f>DATE(YEAR(SalesData[[#This Row],[Date]]),MONTH(SalesData[[#This Row],[Date]]),1)</f>
        <v>2023-05-01</v>
      </c>
      <c r="N93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32" spans="1:14">
      <c r="A932">
        <v>931</v>
      </c>
      <c r="B932" s="1" t="d">
        <v>2023-09-02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t="str">
        <f>TEXT(SalesData[[#This Row],[Date]],"yyyy-mm")</f>
        <v>2023-09</v>
      </c>
      <c r="K932">
        <f>YEAR(SalesData[[#This Row],[Date]])</f>
        <v>2023</v>
      </c>
      <c r="L932" t="str">
        <f>"Q"&amp;ROUNDUP(MONTH(SalesData[[#This Row],[Date]])/3,0)</f>
        <v>Q3</v>
      </c>
      <c r="M932" s="1" t="d">
        <f>DATE(YEAR(SalesData[[#This Row],[Date]]),MONTH(SalesData[[#This Row],[Date]]),1)</f>
        <v>2023-09-01</v>
      </c>
      <c r="N93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33" spans="1:14">
      <c r="A933">
        <v>932</v>
      </c>
      <c r="B933" s="1" t="d">
        <v>2023-02-28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t="str">
        <f>TEXT(SalesData[[#This Row],[Date]],"yyyy-mm")</f>
        <v>2023-02</v>
      </c>
      <c r="K933">
        <f>YEAR(SalesData[[#This Row],[Date]])</f>
        <v>2023</v>
      </c>
      <c r="L933" t="str">
        <f>"Q"&amp;ROUNDUP(MONTH(SalesData[[#This Row],[Date]])/3,0)</f>
        <v>Q1</v>
      </c>
      <c r="M933" s="1" t="d">
        <f>DATE(YEAR(SalesData[[#This Row],[Date]]),MONTH(SalesData[[#This Row],[Date]]),1)</f>
        <v>2023-02-01</v>
      </c>
      <c r="N93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34" spans="1:14">
      <c r="A934">
        <v>933</v>
      </c>
      <c r="B934" s="1" t="d">
        <v>2023-02-03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t="str">
        <f>TEXT(SalesData[[#This Row],[Date]],"yyyy-mm")</f>
        <v>2023-02</v>
      </c>
      <c r="K934">
        <f>YEAR(SalesData[[#This Row],[Date]])</f>
        <v>2023</v>
      </c>
      <c r="L934" t="str">
        <f>"Q"&amp;ROUNDUP(MONTH(SalesData[[#This Row],[Date]])/3,0)</f>
        <v>Q1</v>
      </c>
      <c r="M934" s="1" t="d">
        <f>DATE(YEAR(SalesData[[#This Row],[Date]]),MONTH(SalesData[[#This Row],[Date]]),1)</f>
        <v>2023-02-01</v>
      </c>
      <c r="N93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35" spans="1:14">
      <c r="A935">
        <v>934</v>
      </c>
      <c r="B935" s="1" t="d">
        <v>2023-07-25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t="str">
        <f>TEXT(SalesData[[#This Row],[Date]],"yyyy-mm")</f>
        <v>2023-07</v>
      </c>
      <c r="K935">
        <f>YEAR(SalesData[[#This Row],[Date]])</f>
        <v>2023</v>
      </c>
      <c r="L935" t="str">
        <f>"Q"&amp;ROUNDUP(MONTH(SalesData[[#This Row],[Date]])/3,0)</f>
        <v>Q3</v>
      </c>
      <c r="M935" s="1" t="d">
        <f>DATE(YEAR(SalesData[[#This Row],[Date]]),MONTH(SalesData[[#This Row],[Date]]),1)</f>
        <v>2023-07-01</v>
      </c>
      <c r="N935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36" spans="1:14">
      <c r="A936">
        <v>935</v>
      </c>
      <c r="B936" s="1" t="d">
        <v>2023-09-09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t="str">
        <f>TEXT(SalesData[[#This Row],[Date]],"yyyy-mm")</f>
        <v>2023-09</v>
      </c>
      <c r="K936">
        <f>YEAR(SalesData[[#This Row],[Date]])</f>
        <v>2023</v>
      </c>
      <c r="L936" t="str">
        <f>"Q"&amp;ROUNDUP(MONTH(SalesData[[#This Row],[Date]])/3,0)</f>
        <v>Q3</v>
      </c>
      <c r="M936" s="1" t="d">
        <f>DATE(YEAR(SalesData[[#This Row],[Date]]),MONTH(SalesData[[#This Row],[Date]]),1)</f>
        <v>2023-09-01</v>
      </c>
      <c r="N93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37" spans="1:14">
      <c r="A937">
        <v>936</v>
      </c>
      <c r="B937" s="1" t="d">
        <v>2023-02-07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t="str">
        <f>TEXT(SalesData[[#This Row],[Date]],"yyyy-mm")</f>
        <v>2023-02</v>
      </c>
      <c r="K937">
        <f>YEAR(SalesData[[#This Row],[Date]])</f>
        <v>2023</v>
      </c>
      <c r="L937" t="str">
        <f>"Q"&amp;ROUNDUP(MONTH(SalesData[[#This Row],[Date]])/3,0)</f>
        <v>Q1</v>
      </c>
      <c r="M937" s="1" t="d">
        <f>DATE(YEAR(SalesData[[#This Row],[Date]]),MONTH(SalesData[[#This Row],[Date]]),1)</f>
        <v>2023-02-01</v>
      </c>
      <c r="N93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38" spans="1:14">
      <c r="A938">
        <v>937</v>
      </c>
      <c r="B938" s="1" t="d">
        <v>2023-10-23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t="str">
        <f>TEXT(SalesData[[#This Row],[Date]],"yyyy-mm")</f>
        <v>2023-10</v>
      </c>
      <c r="K938">
        <f>YEAR(SalesData[[#This Row],[Date]])</f>
        <v>2023</v>
      </c>
      <c r="L938" t="str">
        <f>"Q"&amp;ROUNDUP(MONTH(SalesData[[#This Row],[Date]])/3,0)</f>
        <v>Q4</v>
      </c>
      <c r="M938" s="1" t="d">
        <f>DATE(YEAR(SalesData[[#This Row],[Date]]),MONTH(SalesData[[#This Row],[Date]]),1)</f>
        <v>2023-10-01</v>
      </c>
      <c r="N93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39" spans="1:14">
      <c r="A939">
        <v>938</v>
      </c>
      <c r="B939" s="1" t="d">
        <v>2023-11-19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t="str">
        <f>TEXT(SalesData[[#This Row],[Date]],"yyyy-mm")</f>
        <v>2023-11</v>
      </c>
      <c r="K939">
        <f>YEAR(SalesData[[#This Row],[Date]])</f>
        <v>2023</v>
      </c>
      <c r="L939" t="str">
        <f>"Q"&amp;ROUNDUP(MONTH(SalesData[[#This Row],[Date]])/3,0)</f>
        <v>Q4</v>
      </c>
      <c r="M939" s="1" t="d">
        <f>DATE(YEAR(SalesData[[#This Row],[Date]]),MONTH(SalesData[[#This Row],[Date]]),1)</f>
        <v>2023-11-01</v>
      </c>
      <c r="N93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40" spans="1:14">
      <c r="A940">
        <v>939</v>
      </c>
      <c r="B940" s="1" t="d">
        <v>2023-12-18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t="str">
        <f>TEXT(SalesData[[#This Row],[Date]],"yyyy-mm")</f>
        <v>2023-12</v>
      </c>
      <c r="K940">
        <f>YEAR(SalesData[[#This Row],[Date]])</f>
        <v>2023</v>
      </c>
      <c r="L940" t="str">
        <f>"Q"&amp;ROUNDUP(MONTH(SalesData[[#This Row],[Date]])/3,0)</f>
        <v>Q4</v>
      </c>
      <c r="M940" s="1" t="d">
        <f>DATE(YEAR(SalesData[[#This Row],[Date]]),MONTH(SalesData[[#This Row],[Date]]),1)</f>
        <v>2023-12-01</v>
      </c>
      <c r="N94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41" spans="1:14">
      <c r="A941">
        <v>940</v>
      </c>
      <c r="B941" s="1" t="d">
        <v>2023-01-28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t="str">
        <f>TEXT(SalesData[[#This Row],[Date]],"yyyy-mm")</f>
        <v>2023-01</v>
      </c>
      <c r="K941">
        <f>YEAR(SalesData[[#This Row],[Date]])</f>
        <v>2023</v>
      </c>
      <c r="L941" t="str">
        <f>"Q"&amp;ROUNDUP(MONTH(SalesData[[#This Row],[Date]])/3,0)</f>
        <v>Q1</v>
      </c>
      <c r="M941" s="1" t="d">
        <f>DATE(YEAR(SalesData[[#This Row],[Date]]),MONTH(SalesData[[#This Row],[Date]]),1)</f>
        <v>2023-01-01</v>
      </c>
      <c r="N941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42" spans="1:14">
      <c r="A942">
        <v>941</v>
      </c>
      <c r="B942" s="1" t="d">
        <v>2023-03-19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t="str">
        <f>TEXT(SalesData[[#This Row],[Date]],"yyyy-mm")</f>
        <v>2023-03</v>
      </c>
      <c r="K942">
        <f>YEAR(SalesData[[#This Row],[Date]])</f>
        <v>2023</v>
      </c>
      <c r="L942" t="str">
        <f>"Q"&amp;ROUNDUP(MONTH(SalesData[[#This Row],[Date]])/3,0)</f>
        <v>Q1</v>
      </c>
      <c r="M942" s="1" t="d">
        <f>DATE(YEAR(SalesData[[#This Row],[Date]]),MONTH(SalesData[[#This Row],[Date]]),1)</f>
        <v>2023-03-01</v>
      </c>
      <c r="N94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3" spans="1:14">
      <c r="A943">
        <v>942</v>
      </c>
      <c r="B943" s="1" t="d">
        <v>2023-03-18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t="str">
        <f>TEXT(SalesData[[#This Row],[Date]],"yyyy-mm")</f>
        <v>2023-03</v>
      </c>
      <c r="K943">
        <f>YEAR(SalesData[[#This Row],[Date]])</f>
        <v>2023</v>
      </c>
      <c r="L943" t="str">
        <f>"Q"&amp;ROUNDUP(MONTH(SalesData[[#This Row],[Date]])/3,0)</f>
        <v>Q1</v>
      </c>
      <c r="M943" s="1" t="d">
        <f>DATE(YEAR(SalesData[[#This Row],[Date]]),MONTH(SalesData[[#This Row],[Date]]),1)</f>
        <v>2023-03-01</v>
      </c>
      <c r="N94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4" spans="1:14">
      <c r="A944">
        <v>943</v>
      </c>
      <c r="B944" s="1" t="d">
        <v>2023-10-16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t="str">
        <f>TEXT(SalesData[[#This Row],[Date]],"yyyy-mm")</f>
        <v>2023-10</v>
      </c>
      <c r="K944">
        <f>YEAR(SalesData[[#This Row],[Date]])</f>
        <v>2023</v>
      </c>
      <c r="L944" t="str">
        <f>"Q"&amp;ROUNDUP(MONTH(SalesData[[#This Row],[Date]])/3,0)</f>
        <v>Q4</v>
      </c>
      <c r="M944" s="1" t="d">
        <f>DATE(YEAR(SalesData[[#This Row],[Date]]),MONTH(SalesData[[#This Row],[Date]]),1)</f>
        <v>2023-10-01</v>
      </c>
      <c r="N94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5" spans="1:14">
      <c r="A945">
        <v>944</v>
      </c>
      <c r="B945" s="1" t="d">
        <v>2023-06-05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t="str">
        <f>TEXT(SalesData[[#This Row],[Date]],"yyyy-mm")</f>
        <v>2023-06</v>
      </c>
      <c r="K945">
        <f>YEAR(SalesData[[#This Row],[Date]])</f>
        <v>2023</v>
      </c>
      <c r="L945" t="str">
        <f>"Q"&amp;ROUNDUP(MONTH(SalesData[[#This Row],[Date]])/3,0)</f>
        <v>Q2</v>
      </c>
      <c r="M945" s="1" t="d">
        <f>DATE(YEAR(SalesData[[#This Row],[Date]]),MONTH(SalesData[[#This Row],[Date]]),1)</f>
        <v>2023-06-01</v>
      </c>
      <c r="N94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46" spans="1:14">
      <c r="A946">
        <v>945</v>
      </c>
      <c r="B946" s="1" t="d">
        <v>2023-02-13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t="str">
        <f>TEXT(SalesData[[#This Row],[Date]],"yyyy-mm")</f>
        <v>2023-02</v>
      </c>
      <c r="K946">
        <f>YEAR(SalesData[[#This Row],[Date]])</f>
        <v>2023</v>
      </c>
      <c r="L946" t="str">
        <f>"Q"&amp;ROUNDUP(MONTH(SalesData[[#This Row],[Date]])/3,0)</f>
        <v>Q1</v>
      </c>
      <c r="M946" s="1" t="d">
        <f>DATE(YEAR(SalesData[[#This Row],[Date]]),MONTH(SalesData[[#This Row],[Date]]),1)</f>
        <v>2023-02-01</v>
      </c>
      <c r="N946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47" spans="1:14">
      <c r="A947">
        <v>946</v>
      </c>
      <c r="B947" s="1" t="d">
        <v>2023-05-08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t="str">
        <f>TEXT(SalesData[[#This Row],[Date]],"yyyy-mm")</f>
        <v>2023-05</v>
      </c>
      <c r="K947">
        <f>YEAR(SalesData[[#This Row],[Date]])</f>
        <v>2023</v>
      </c>
      <c r="L947" t="str">
        <f>"Q"&amp;ROUNDUP(MONTH(SalesData[[#This Row],[Date]])/3,0)</f>
        <v>Q2</v>
      </c>
      <c r="M947" s="1" t="d">
        <f>DATE(YEAR(SalesData[[#This Row],[Date]]),MONTH(SalesData[[#This Row],[Date]]),1)</f>
        <v>2023-05-01</v>
      </c>
      <c r="N94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8" spans="1:14">
      <c r="A948">
        <v>947</v>
      </c>
      <c r="B948" s="1" t="d">
        <v>2023-03-02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t="str">
        <f>TEXT(SalesData[[#This Row],[Date]],"yyyy-mm")</f>
        <v>2023-03</v>
      </c>
      <c r="K948">
        <f>YEAR(SalesData[[#This Row],[Date]])</f>
        <v>2023</v>
      </c>
      <c r="L948" t="str">
        <f>"Q"&amp;ROUNDUP(MONTH(SalesData[[#This Row],[Date]])/3,0)</f>
        <v>Q1</v>
      </c>
      <c r="M948" s="1" t="d">
        <f>DATE(YEAR(SalesData[[#This Row],[Date]]),MONTH(SalesData[[#This Row],[Date]]),1)</f>
        <v>2023-03-01</v>
      </c>
      <c r="N94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49" spans="1:14">
      <c r="A949">
        <v>948</v>
      </c>
      <c r="B949" s="1" t="d">
        <v>2023-10-13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t="str">
        <f>TEXT(SalesData[[#This Row],[Date]],"yyyy-mm")</f>
        <v>2023-10</v>
      </c>
      <c r="K949">
        <f>YEAR(SalesData[[#This Row],[Date]])</f>
        <v>2023</v>
      </c>
      <c r="L949" t="str">
        <f>"Q"&amp;ROUNDUP(MONTH(SalesData[[#This Row],[Date]])/3,0)</f>
        <v>Q4</v>
      </c>
      <c r="M949" s="1" t="d">
        <f>DATE(YEAR(SalesData[[#This Row],[Date]]),MONTH(SalesData[[#This Row],[Date]]),1)</f>
        <v>2023-10-01</v>
      </c>
      <c r="N94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50" spans="1:14">
      <c r="A950">
        <v>949</v>
      </c>
      <c r="B950" s="1" t="d">
        <v>2023-08-02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t="str">
        <f>TEXT(SalesData[[#This Row],[Date]],"yyyy-mm")</f>
        <v>2023-08</v>
      </c>
      <c r="K950">
        <f>YEAR(SalesData[[#This Row],[Date]])</f>
        <v>2023</v>
      </c>
      <c r="L950" t="str">
        <f>"Q"&amp;ROUNDUP(MONTH(SalesData[[#This Row],[Date]])/3,0)</f>
        <v>Q3</v>
      </c>
      <c r="M950" s="1" t="d">
        <f>DATE(YEAR(SalesData[[#This Row],[Date]]),MONTH(SalesData[[#This Row],[Date]]),1)</f>
        <v>2023-08-01</v>
      </c>
      <c r="N95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51" spans="1:14">
      <c r="A951">
        <v>950</v>
      </c>
      <c r="B951" s="1" t="d">
        <v>2023-11-07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t="str">
        <f>TEXT(SalesData[[#This Row],[Date]],"yyyy-mm")</f>
        <v>2023-11</v>
      </c>
      <c r="K951">
        <f>YEAR(SalesData[[#This Row],[Date]])</f>
        <v>2023</v>
      </c>
      <c r="L951" t="str">
        <f>"Q"&amp;ROUNDUP(MONTH(SalesData[[#This Row],[Date]])/3,0)</f>
        <v>Q4</v>
      </c>
      <c r="M951" s="1" t="d">
        <f>DATE(YEAR(SalesData[[#This Row],[Date]]),MONTH(SalesData[[#This Row],[Date]]),1)</f>
        <v>2023-11-01</v>
      </c>
      <c r="N95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52" spans="1:14">
      <c r="A952">
        <v>951</v>
      </c>
      <c r="B952" s="1" t="d">
        <v>2023-11-02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t="str">
        <f>TEXT(SalesData[[#This Row],[Date]],"yyyy-mm")</f>
        <v>2023-11</v>
      </c>
      <c r="K952">
        <f>YEAR(SalesData[[#This Row],[Date]])</f>
        <v>2023</v>
      </c>
      <c r="L952" t="str">
        <f>"Q"&amp;ROUNDUP(MONTH(SalesData[[#This Row],[Date]])/3,0)</f>
        <v>Q4</v>
      </c>
      <c r="M952" s="1" t="d">
        <f>DATE(YEAR(SalesData[[#This Row],[Date]]),MONTH(SalesData[[#This Row],[Date]]),1)</f>
        <v>2023-11-01</v>
      </c>
      <c r="N95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53" spans="1:14">
      <c r="A953">
        <v>952</v>
      </c>
      <c r="B953" s="1" t="d">
        <v>2023-11-13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t="str">
        <f>TEXT(SalesData[[#This Row],[Date]],"yyyy-mm")</f>
        <v>2023-11</v>
      </c>
      <c r="K953">
        <f>YEAR(SalesData[[#This Row],[Date]])</f>
        <v>2023</v>
      </c>
      <c r="L953" t="str">
        <f>"Q"&amp;ROUNDUP(MONTH(SalesData[[#This Row],[Date]])/3,0)</f>
        <v>Q4</v>
      </c>
      <c r="M953" s="1" t="d">
        <f>DATE(YEAR(SalesData[[#This Row],[Date]]),MONTH(SalesData[[#This Row],[Date]]),1)</f>
        <v>2023-11-01</v>
      </c>
      <c r="N95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54" spans="1:14">
      <c r="A954">
        <v>953</v>
      </c>
      <c r="B954" s="1" t="d">
        <v>2023-04-26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t="str">
        <f>TEXT(SalesData[[#This Row],[Date]],"yyyy-mm")</f>
        <v>2023-04</v>
      </c>
      <c r="K954">
        <f>YEAR(SalesData[[#This Row],[Date]])</f>
        <v>2023</v>
      </c>
      <c r="L954" t="str">
        <f>"Q"&amp;ROUNDUP(MONTH(SalesData[[#This Row],[Date]])/3,0)</f>
        <v>Q2</v>
      </c>
      <c r="M954" s="1" t="d">
        <f>DATE(YEAR(SalesData[[#This Row],[Date]]),MONTH(SalesData[[#This Row],[Date]]),1)</f>
        <v>2023-04-01</v>
      </c>
      <c r="N95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55" spans="1:14">
      <c r="A955">
        <v>954</v>
      </c>
      <c r="B955" s="1" t="d">
        <v>2023-09-25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t="str">
        <f>TEXT(SalesData[[#This Row],[Date]],"yyyy-mm")</f>
        <v>2023-09</v>
      </c>
      <c r="K955">
        <f>YEAR(SalesData[[#This Row],[Date]])</f>
        <v>2023</v>
      </c>
      <c r="L955" t="str">
        <f>"Q"&amp;ROUNDUP(MONTH(SalesData[[#This Row],[Date]])/3,0)</f>
        <v>Q3</v>
      </c>
      <c r="M955" s="1" t="d">
        <f>DATE(YEAR(SalesData[[#This Row],[Date]]),MONTH(SalesData[[#This Row],[Date]]),1)</f>
        <v>2023-09-01</v>
      </c>
      <c r="N95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56" spans="1:14">
      <c r="A956">
        <v>955</v>
      </c>
      <c r="B956" s="1" t="d">
        <v>2023-07-14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t="str">
        <f>TEXT(SalesData[[#This Row],[Date]],"yyyy-mm")</f>
        <v>2023-07</v>
      </c>
      <c r="K956">
        <f>YEAR(SalesData[[#This Row],[Date]])</f>
        <v>2023</v>
      </c>
      <c r="L956" t="str">
        <f>"Q"&amp;ROUNDUP(MONTH(SalesData[[#This Row],[Date]])/3,0)</f>
        <v>Q3</v>
      </c>
      <c r="M956" s="1" t="d">
        <f>DATE(YEAR(SalesData[[#This Row],[Date]]),MONTH(SalesData[[#This Row],[Date]]),1)</f>
        <v>2023-07-01</v>
      </c>
      <c r="N95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57" spans="1:14">
      <c r="A957">
        <v>956</v>
      </c>
      <c r="B957" s="1" t="d">
        <v>2023-08-19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t="str">
        <f>TEXT(SalesData[[#This Row],[Date]],"yyyy-mm")</f>
        <v>2023-08</v>
      </c>
      <c r="K957">
        <f>YEAR(SalesData[[#This Row],[Date]])</f>
        <v>2023</v>
      </c>
      <c r="L957" t="str">
        <f>"Q"&amp;ROUNDUP(MONTH(SalesData[[#This Row],[Date]])/3,0)</f>
        <v>Q3</v>
      </c>
      <c r="M957" s="1" t="d">
        <f>DATE(YEAR(SalesData[[#This Row],[Date]]),MONTH(SalesData[[#This Row],[Date]]),1)</f>
        <v>2023-08-01</v>
      </c>
      <c r="N957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58" spans="1:14">
      <c r="A958">
        <v>957</v>
      </c>
      <c r="B958" s="1" t="d">
        <v>2023-08-15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t="str">
        <f>TEXT(SalesData[[#This Row],[Date]],"yyyy-mm")</f>
        <v>2023-08</v>
      </c>
      <c r="K958">
        <f>YEAR(SalesData[[#This Row],[Date]])</f>
        <v>2023</v>
      </c>
      <c r="L958" t="str">
        <f>"Q"&amp;ROUNDUP(MONTH(SalesData[[#This Row],[Date]])/3,0)</f>
        <v>Q3</v>
      </c>
      <c r="M958" s="1" t="d">
        <f>DATE(YEAR(SalesData[[#This Row],[Date]]),MONTH(SalesData[[#This Row],[Date]]),1)</f>
        <v>2023-08-01</v>
      </c>
      <c r="N95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59" spans="1:14">
      <c r="A959">
        <v>958</v>
      </c>
      <c r="B959" s="1" t="d">
        <v>2023-06-02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t="str">
        <f>TEXT(SalesData[[#This Row],[Date]],"yyyy-mm")</f>
        <v>2023-06</v>
      </c>
      <c r="K959">
        <f>YEAR(SalesData[[#This Row],[Date]])</f>
        <v>2023</v>
      </c>
      <c r="L959" t="str">
        <f>"Q"&amp;ROUNDUP(MONTH(SalesData[[#This Row],[Date]])/3,0)</f>
        <v>Q2</v>
      </c>
      <c r="M959" s="1" t="d">
        <f>DATE(YEAR(SalesData[[#This Row],[Date]]),MONTH(SalesData[[#This Row],[Date]]),1)</f>
        <v>2023-06-01</v>
      </c>
      <c r="N95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0" spans="1:14">
      <c r="A960">
        <v>959</v>
      </c>
      <c r="B960" s="1" t="d">
        <v>2023-10-29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t="str">
        <f>TEXT(SalesData[[#This Row],[Date]],"yyyy-mm")</f>
        <v>2023-10</v>
      </c>
      <c r="K960">
        <f>YEAR(SalesData[[#This Row],[Date]])</f>
        <v>2023</v>
      </c>
      <c r="L960" t="str">
        <f>"Q"&amp;ROUNDUP(MONTH(SalesData[[#This Row],[Date]])/3,0)</f>
        <v>Q4</v>
      </c>
      <c r="M960" s="1" t="d">
        <f>DATE(YEAR(SalesData[[#This Row],[Date]]),MONTH(SalesData[[#This Row],[Date]]),1)</f>
        <v>2023-10-01</v>
      </c>
      <c r="N96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61" spans="1:14">
      <c r="A961">
        <v>960</v>
      </c>
      <c r="B961" s="1" t="d">
        <v>2023-08-08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t="str">
        <f>TEXT(SalesData[[#This Row],[Date]],"yyyy-mm")</f>
        <v>2023-08</v>
      </c>
      <c r="K961">
        <f>YEAR(SalesData[[#This Row],[Date]])</f>
        <v>2023</v>
      </c>
      <c r="L961" t="str">
        <f>"Q"&amp;ROUNDUP(MONTH(SalesData[[#This Row],[Date]])/3,0)</f>
        <v>Q3</v>
      </c>
      <c r="M961" s="1" t="d">
        <f>DATE(YEAR(SalesData[[#This Row],[Date]]),MONTH(SalesData[[#This Row],[Date]]),1)</f>
        <v>2023-08-01</v>
      </c>
      <c r="N96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2" spans="1:14">
      <c r="A962">
        <v>961</v>
      </c>
      <c r="B962" s="1" t="d">
        <v>2023-06-06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t="str">
        <f>TEXT(SalesData[[#This Row],[Date]],"yyyy-mm")</f>
        <v>2023-06</v>
      </c>
      <c r="K962">
        <f>YEAR(SalesData[[#This Row],[Date]])</f>
        <v>2023</v>
      </c>
      <c r="L962" t="str">
        <f>"Q"&amp;ROUNDUP(MONTH(SalesData[[#This Row],[Date]])/3,0)</f>
        <v>Q2</v>
      </c>
      <c r="M962" s="1" t="d">
        <f>DATE(YEAR(SalesData[[#This Row],[Date]]),MONTH(SalesData[[#This Row],[Date]]),1)</f>
        <v>2023-06-01</v>
      </c>
      <c r="N962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3" spans="1:14">
      <c r="A963">
        <v>962</v>
      </c>
      <c r="B963" s="1" t="d">
        <v>2023-10-19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t="str">
        <f>TEXT(SalesData[[#This Row],[Date]],"yyyy-mm")</f>
        <v>2023-10</v>
      </c>
      <c r="K963">
        <f>YEAR(SalesData[[#This Row],[Date]])</f>
        <v>2023</v>
      </c>
      <c r="L963" t="str">
        <f>"Q"&amp;ROUNDUP(MONTH(SalesData[[#This Row],[Date]])/3,0)</f>
        <v>Q4</v>
      </c>
      <c r="M963" s="1" t="d">
        <f>DATE(YEAR(SalesData[[#This Row],[Date]]),MONTH(SalesData[[#This Row],[Date]]),1)</f>
        <v>2023-10-01</v>
      </c>
      <c r="N96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64" spans="1:14">
      <c r="A964">
        <v>963</v>
      </c>
      <c r="B964" s="1" t="d">
        <v>2023-11-14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t="str">
        <f>TEXT(SalesData[[#This Row],[Date]],"yyyy-mm")</f>
        <v>2023-11</v>
      </c>
      <c r="K964">
        <f>YEAR(SalesData[[#This Row],[Date]])</f>
        <v>2023</v>
      </c>
      <c r="L964" t="str">
        <f>"Q"&amp;ROUNDUP(MONTH(SalesData[[#This Row],[Date]])/3,0)</f>
        <v>Q4</v>
      </c>
      <c r="M964" s="1" t="d">
        <f>DATE(YEAR(SalesData[[#This Row],[Date]]),MONTH(SalesData[[#This Row],[Date]]),1)</f>
        <v>2023-11-01</v>
      </c>
      <c r="N96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5" spans="1:14">
      <c r="A965">
        <v>964</v>
      </c>
      <c r="B965" s="1" t="d">
        <v>2023-01-31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t="str">
        <f>TEXT(SalesData[[#This Row],[Date]],"yyyy-mm")</f>
        <v>2023-01</v>
      </c>
      <c r="K965">
        <f>YEAR(SalesData[[#This Row],[Date]])</f>
        <v>2023</v>
      </c>
      <c r="L965" t="str">
        <f>"Q"&amp;ROUNDUP(MONTH(SalesData[[#This Row],[Date]])/3,0)</f>
        <v>Q1</v>
      </c>
      <c r="M965" s="1" t="d">
        <f>DATE(YEAR(SalesData[[#This Row],[Date]]),MONTH(SalesData[[#This Row],[Date]]),1)</f>
        <v>2023-01-01</v>
      </c>
      <c r="N965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66" spans="1:14">
      <c r="A966">
        <v>965</v>
      </c>
      <c r="B966" s="1" t="d">
        <v>2023-11-09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t="str">
        <f>TEXT(SalesData[[#This Row],[Date]],"yyyy-mm")</f>
        <v>2023-11</v>
      </c>
      <c r="K966">
        <f>YEAR(SalesData[[#This Row],[Date]])</f>
        <v>2023</v>
      </c>
      <c r="L966" t="str">
        <f>"Q"&amp;ROUNDUP(MONTH(SalesData[[#This Row],[Date]])/3,0)</f>
        <v>Q4</v>
      </c>
      <c r="M966" s="1" t="d">
        <f>DATE(YEAR(SalesData[[#This Row],[Date]]),MONTH(SalesData[[#This Row],[Date]]),1)</f>
        <v>2023-11-01</v>
      </c>
      <c r="N966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67" spans="1:14">
      <c r="A967">
        <v>966</v>
      </c>
      <c r="B967" s="1" t="d">
        <v>2023-02-20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t="str">
        <f>TEXT(SalesData[[#This Row],[Date]],"yyyy-mm")</f>
        <v>2023-02</v>
      </c>
      <c r="K967">
        <f>YEAR(SalesData[[#This Row],[Date]])</f>
        <v>2023</v>
      </c>
      <c r="L967" t="str">
        <f>"Q"&amp;ROUNDUP(MONTH(SalesData[[#This Row],[Date]])/3,0)</f>
        <v>Q1</v>
      </c>
      <c r="M967" s="1" t="d">
        <f>DATE(YEAR(SalesData[[#This Row],[Date]]),MONTH(SalesData[[#This Row],[Date]]),1)</f>
        <v>2023-02-01</v>
      </c>
      <c r="N96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8" spans="1:14">
      <c r="A968">
        <v>967</v>
      </c>
      <c r="B968" s="1" t="d">
        <v>2023-04-17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t="str">
        <f>TEXT(SalesData[[#This Row],[Date]],"yyyy-mm")</f>
        <v>2023-04</v>
      </c>
      <c r="K968">
        <f>YEAR(SalesData[[#This Row],[Date]])</f>
        <v>2023</v>
      </c>
      <c r="L968" t="str">
        <f>"Q"&amp;ROUNDUP(MONTH(SalesData[[#This Row],[Date]])/3,0)</f>
        <v>Q2</v>
      </c>
      <c r="M968" s="1" t="d">
        <f>DATE(YEAR(SalesData[[#This Row],[Date]]),MONTH(SalesData[[#This Row],[Date]]),1)</f>
        <v>2023-04-01</v>
      </c>
      <c r="N96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69" spans="1:14">
      <c r="A969">
        <v>968</v>
      </c>
      <c r="B969" s="1" t="d">
        <v>2023-11-17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t="str">
        <f>TEXT(SalesData[[#This Row],[Date]],"yyyy-mm")</f>
        <v>2023-11</v>
      </c>
      <c r="K969">
        <f>YEAR(SalesData[[#This Row],[Date]])</f>
        <v>2023</v>
      </c>
      <c r="L969" t="str">
        <f>"Q"&amp;ROUNDUP(MONTH(SalesData[[#This Row],[Date]])/3,0)</f>
        <v>Q4</v>
      </c>
      <c r="M969" s="1" t="d">
        <f>DATE(YEAR(SalesData[[#This Row],[Date]]),MONTH(SalesData[[#This Row],[Date]]),1)</f>
        <v>2023-11-01</v>
      </c>
      <c r="N969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70" spans="1:14">
      <c r="A970">
        <v>969</v>
      </c>
      <c r="B970" s="1" t="d">
        <v>2023-04-19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t="str">
        <f>TEXT(SalesData[[#This Row],[Date]],"yyyy-mm")</f>
        <v>2023-04</v>
      </c>
      <c r="K970">
        <f>YEAR(SalesData[[#This Row],[Date]])</f>
        <v>2023</v>
      </c>
      <c r="L970" t="str">
        <f>"Q"&amp;ROUNDUP(MONTH(SalesData[[#This Row],[Date]])/3,0)</f>
        <v>Q2</v>
      </c>
      <c r="M970" s="1" t="d">
        <f>DATE(YEAR(SalesData[[#This Row],[Date]]),MONTH(SalesData[[#This Row],[Date]]),1)</f>
        <v>2023-04-01</v>
      </c>
      <c r="N97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71" spans="1:14">
      <c r="A971">
        <v>970</v>
      </c>
      <c r="B971" s="1" t="d">
        <v>2023-05-16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t="str">
        <f>TEXT(SalesData[[#This Row],[Date]],"yyyy-mm")</f>
        <v>2023-05</v>
      </c>
      <c r="K971">
        <f>YEAR(SalesData[[#This Row],[Date]])</f>
        <v>2023</v>
      </c>
      <c r="L971" t="str">
        <f>"Q"&amp;ROUNDUP(MONTH(SalesData[[#This Row],[Date]])/3,0)</f>
        <v>Q2</v>
      </c>
      <c r="M971" s="1" t="d">
        <f>DATE(YEAR(SalesData[[#This Row],[Date]]),MONTH(SalesData[[#This Row],[Date]]),1)</f>
        <v>2023-05-01</v>
      </c>
      <c r="N97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72" spans="1:14">
      <c r="A972">
        <v>971</v>
      </c>
      <c r="B972" s="1" t="d">
        <v>2023-12-05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t="str">
        <f>TEXT(SalesData[[#This Row],[Date]],"yyyy-mm")</f>
        <v>2023-12</v>
      </c>
      <c r="K972">
        <f>YEAR(SalesData[[#This Row],[Date]])</f>
        <v>2023</v>
      </c>
      <c r="L972" t="str">
        <f>"Q"&amp;ROUNDUP(MONTH(SalesData[[#This Row],[Date]])/3,0)</f>
        <v>Q4</v>
      </c>
      <c r="M972" s="1" t="d">
        <f>DATE(YEAR(SalesData[[#This Row],[Date]]),MONTH(SalesData[[#This Row],[Date]]),1)</f>
        <v>2023-12-01</v>
      </c>
      <c r="N972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73" spans="1:14">
      <c r="A973">
        <v>972</v>
      </c>
      <c r="B973" s="1" t="d">
        <v>2023-02-11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t="str">
        <f>TEXT(SalesData[[#This Row],[Date]],"yyyy-mm")</f>
        <v>2023-02</v>
      </c>
      <c r="K973">
        <f>YEAR(SalesData[[#This Row],[Date]])</f>
        <v>2023</v>
      </c>
      <c r="L973" t="str">
        <f>"Q"&amp;ROUNDUP(MONTH(SalesData[[#This Row],[Date]])/3,0)</f>
        <v>Q1</v>
      </c>
      <c r="M973" s="1" t="d">
        <f>DATE(YEAR(SalesData[[#This Row],[Date]]),MONTH(SalesData[[#This Row],[Date]]),1)</f>
        <v>2023-02-01</v>
      </c>
      <c r="N97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74" spans="1:14">
      <c r="A974">
        <v>973</v>
      </c>
      <c r="B974" s="1" t="d">
        <v>2023-03-22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t="str">
        <f>TEXT(SalesData[[#This Row],[Date]],"yyyy-mm")</f>
        <v>2023-03</v>
      </c>
      <c r="K974">
        <f>YEAR(SalesData[[#This Row],[Date]])</f>
        <v>2023</v>
      </c>
      <c r="L974" t="str">
        <f>"Q"&amp;ROUNDUP(MONTH(SalesData[[#This Row],[Date]])/3,0)</f>
        <v>Q1</v>
      </c>
      <c r="M974" s="1" t="d">
        <f>DATE(YEAR(SalesData[[#This Row],[Date]]),MONTH(SalesData[[#This Row],[Date]]),1)</f>
        <v>2023-03-01</v>
      </c>
      <c r="N974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75" spans="1:14">
      <c r="A975">
        <v>974</v>
      </c>
      <c r="B975" s="1" t="d">
        <v>2023-05-03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t="str">
        <f>TEXT(SalesData[[#This Row],[Date]],"yyyy-mm")</f>
        <v>2023-05</v>
      </c>
      <c r="K975">
        <f>YEAR(SalesData[[#This Row],[Date]])</f>
        <v>2023</v>
      </c>
      <c r="L975" t="str">
        <f>"Q"&amp;ROUNDUP(MONTH(SalesData[[#This Row],[Date]])/3,0)</f>
        <v>Q2</v>
      </c>
      <c r="M975" s="1" t="d">
        <f>DATE(YEAR(SalesData[[#This Row],[Date]]),MONTH(SalesData[[#This Row],[Date]]),1)</f>
        <v>2023-05-01</v>
      </c>
      <c r="N975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76" spans="1:14">
      <c r="A976">
        <v>975</v>
      </c>
      <c r="B976" s="1" t="d">
        <v>2023-03-30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t="str">
        <f>TEXT(SalesData[[#This Row],[Date]],"yyyy-mm")</f>
        <v>2023-03</v>
      </c>
      <c r="K976">
        <f>YEAR(SalesData[[#This Row],[Date]])</f>
        <v>2023</v>
      </c>
      <c r="L976" t="str">
        <f>"Q"&amp;ROUNDUP(MONTH(SalesData[[#This Row],[Date]])/3,0)</f>
        <v>Q1</v>
      </c>
      <c r="M976" s="1" t="d">
        <f>DATE(YEAR(SalesData[[#This Row],[Date]]),MONTH(SalesData[[#This Row],[Date]]),1)</f>
        <v>2023-03-01</v>
      </c>
      <c r="N976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77" spans="1:14">
      <c r="A977">
        <v>976</v>
      </c>
      <c r="B977" s="1" t="d">
        <v>2023-10-10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t="str">
        <f>TEXT(SalesData[[#This Row],[Date]],"yyyy-mm")</f>
        <v>2023-10</v>
      </c>
      <c r="K977">
        <f>YEAR(SalesData[[#This Row],[Date]])</f>
        <v>2023</v>
      </c>
      <c r="L977" t="str">
        <f>"Q"&amp;ROUNDUP(MONTH(SalesData[[#This Row],[Date]])/3,0)</f>
        <v>Q4</v>
      </c>
      <c r="M977" s="1" t="d">
        <f>DATE(YEAR(SalesData[[#This Row],[Date]]),MONTH(SalesData[[#This Row],[Date]]),1)</f>
        <v>2023-10-01</v>
      </c>
      <c r="N97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78" spans="1:14">
      <c r="A978">
        <v>977</v>
      </c>
      <c r="B978" s="1" t="d">
        <v>2023-02-08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t="str">
        <f>TEXT(SalesData[[#This Row],[Date]],"yyyy-mm")</f>
        <v>2023-02</v>
      </c>
      <c r="K978">
        <f>YEAR(SalesData[[#This Row],[Date]])</f>
        <v>2023</v>
      </c>
      <c r="L978" t="str">
        <f>"Q"&amp;ROUNDUP(MONTH(SalesData[[#This Row],[Date]])/3,0)</f>
        <v>Q1</v>
      </c>
      <c r="M978" s="1" t="d">
        <f>DATE(YEAR(SalesData[[#This Row],[Date]]),MONTH(SalesData[[#This Row],[Date]]),1)</f>
        <v>2023-02-01</v>
      </c>
      <c r="N97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79" spans="1:14">
      <c r="A979">
        <v>978</v>
      </c>
      <c r="B979" s="1" t="d">
        <v>2023-03-22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t="str">
        <f>TEXT(SalesData[[#This Row],[Date]],"yyyy-mm")</f>
        <v>2023-03</v>
      </c>
      <c r="K979">
        <f>YEAR(SalesData[[#This Row],[Date]])</f>
        <v>2023</v>
      </c>
      <c r="L979" t="str">
        <f>"Q"&amp;ROUNDUP(MONTH(SalesData[[#This Row],[Date]])/3,0)</f>
        <v>Q1</v>
      </c>
      <c r="M979" s="1" t="d">
        <f>DATE(YEAR(SalesData[[#This Row],[Date]]),MONTH(SalesData[[#This Row],[Date]]),1)</f>
        <v>2023-03-01</v>
      </c>
      <c r="N97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80" spans="1:14">
      <c r="A980">
        <v>979</v>
      </c>
      <c r="B980" s="1" t="d">
        <v>2023-01-02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t="str">
        <f>TEXT(SalesData[[#This Row],[Date]],"yyyy-mm")</f>
        <v>2023-01</v>
      </c>
      <c r="K980">
        <f>YEAR(SalesData[[#This Row],[Date]])</f>
        <v>2023</v>
      </c>
      <c r="L980" t="str">
        <f>"Q"&amp;ROUNDUP(MONTH(SalesData[[#This Row],[Date]])/3,0)</f>
        <v>Q1</v>
      </c>
      <c r="M980" s="1" t="d">
        <f>DATE(YEAR(SalesData[[#This Row],[Date]]),MONTH(SalesData[[#This Row],[Date]]),1)</f>
        <v>2023-01-01</v>
      </c>
      <c r="N980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981" spans="1:14">
      <c r="A981">
        <v>980</v>
      </c>
      <c r="B981" s="1" t="d">
        <v>2023-07-29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t="str">
        <f>TEXT(SalesData[[#This Row],[Date]],"yyyy-mm")</f>
        <v>2023-07</v>
      </c>
      <c r="K981">
        <f>YEAR(SalesData[[#This Row],[Date]])</f>
        <v>2023</v>
      </c>
      <c r="L981" t="str">
        <f>"Q"&amp;ROUNDUP(MONTH(SalesData[[#This Row],[Date]])/3,0)</f>
        <v>Q3</v>
      </c>
      <c r="M981" s="1" t="d">
        <f>DATE(YEAR(SalesData[[#This Row],[Date]]),MONTH(SalesData[[#This Row],[Date]]),1)</f>
        <v>2023-07-01</v>
      </c>
      <c r="N981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82" spans="1:14">
      <c r="A982">
        <v>981</v>
      </c>
      <c r="B982" s="1" t="d">
        <v>2023-08-19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t="str">
        <f>TEXT(SalesData[[#This Row],[Date]],"yyyy-mm")</f>
        <v>2023-08</v>
      </c>
      <c r="K982">
        <f>YEAR(SalesData[[#This Row],[Date]])</f>
        <v>2023</v>
      </c>
      <c r="L982" t="str">
        <f>"Q"&amp;ROUNDUP(MONTH(SalesData[[#This Row],[Date]])/3,0)</f>
        <v>Q3</v>
      </c>
      <c r="M982" s="1" t="d">
        <f>DATE(YEAR(SalesData[[#This Row],[Date]]),MONTH(SalesData[[#This Row],[Date]]),1)</f>
        <v>2023-08-01</v>
      </c>
      <c r="N98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83" spans="1:14">
      <c r="A983">
        <v>982</v>
      </c>
      <c r="B983" s="1" t="d">
        <v>2023-12-19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t="str">
        <f>TEXT(SalesData[[#This Row],[Date]],"yyyy-mm")</f>
        <v>2023-12</v>
      </c>
      <c r="K983">
        <f>YEAR(SalesData[[#This Row],[Date]])</f>
        <v>2023</v>
      </c>
      <c r="L983" t="str">
        <f>"Q"&amp;ROUNDUP(MONTH(SalesData[[#This Row],[Date]])/3,0)</f>
        <v>Q4</v>
      </c>
      <c r="M983" s="1" t="d">
        <f>DATE(YEAR(SalesData[[#This Row],[Date]]),MONTH(SalesData[[#This Row],[Date]]),1)</f>
        <v>2023-12-01</v>
      </c>
      <c r="N983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84" spans="1:14">
      <c r="A984">
        <v>983</v>
      </c>
      <c r="B984" s="1" t="d">
        <v>2023-11-01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t="str">
        <f>TEXT(SalesData[[#This Row],[Date]],"yyyy-mm")</f>
        <v>2023-11</v>
      </c>
      <c r="K984">
        <f>YEAR(SalesData[[#This Row],[Date]])</f>
        <v>2023</v>
      </c>
      <c r="L984" t="str">
        <f>"Q"&amp;ROUNDUP(MONTH(SalesData[[#This Row],[Date]])/3,0)</f>
        <v>Q4</v>
      </c>
      <c r="M984" s="1" t="d">
        <f>DATE(YEAR(SalesData[[#This Row],[Date]]),MONTH(SalesData[[#This Row],[Date]]),1)</f>
        <v>2023-11-01</v>
      </c>
      <c r="N984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985" spans="1:14">
      <c r="A985">
        <v>984</v>
      </c>
      <c r="B985" s="1" t="d">
        <v>2023-08-29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t="str">
        <f>TEXT(SalesData[[#This Row],[Date]],"yyyy-mm")</f>
        <v>2023-08</v>
      </c>
      <c r="K985">
        <f>YEAR(SalesData[[#This Row],[Date]])</f>
        <v>2023</v>
      </c>
      <c r="L985" t="str">
        <f>"Q"&amp;ROUNDUP(MONTH(SalesData[[#This Row],[Date]])/3,0)</f>
        <v>Q3</v>
      </c>
      <c r="M985" s="1" t="d">
        <f>DATE(YEAR(SalesData[[#This Row],[Date]]),MONTH(SalesData[[#This Row],[Date]]),1)</f>
        <v>2023-08-01</v>
      </c>
      <c r="N98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86" spans="1:14">
      <c r="A986">
        <v>985</v>
      </c>
      <c r="B986" s="1" t="d">
        <v>2023-05-30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t="str">
        <f>TEXT(SalesData[[#This Row],[Date]],"yyyy-mm")</f>
        <v>2023-05</v>
      </c>
      <c r="K986">
        <f>YEAR(SalesData[[#This Row],[Date]])</f>
        <v>2023</v>
      </c>
      <c r="L986" t="str">
        <f>"Q"&amp;ROUNDUP(MONTH(SalesData[[#This Row],[Date]])/3,0)</f>
        <v>Q2</v>
      </c>
      <c r="M986" s="1" t="d">
        <f>DATE(YEAR(SalesData[[#This Row],[Date]]),MONTH(SalesData[[#This Row],[Date]]),1)</f>
        <v>2023-05-01</v>
      </c>
      <c r="N986" s="2" t="str">
        <f>IF(SalesData[[#This Row],[Age]]&lt;20,"Under 20",IF(SalesData[[#This Row],[Age]]&lt;30,"20-29",IF(SalesData[[#This Row],[Age]]&lt;40,"30-39",IF(SalesData[[#This Row],[Age]]&lt;50,"40-49","50+"))))</f>
        <v>Under 20</v>
      </c>
    </row>
    <row r="987" spans="1:14">
      <c r="A987">
        <v>986</v>
      </c>
      <c r="B987" s="1" t="d">
        <v>2023-01-17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t="str">
        <f>TEXT(SalesData[[#This Row],[Date]],"yyyy-mm")</f>
        <v>2023-01</v>
      </c>
      <c r="K987">
        <f>YEAR(SalesData[[#This Row],[Date]])</f>
        <v>2023</v>
      </c>
      <c r="L987" t="str">
        <f>"Q"&amp;ROUNDUP(MONTH(SalesData[[#This Row],[Date]])/3,0)</f>
        <v>Q1</v>
      </c>
      <c r="M987" s="1" t="d">
        <f>DATE(YEAR(SalesData[[#This Row],[Date]]),MONTH(SalesData[[#This Row],[Date]]),1)</f>
        <v>2023-01-01</v>
      </c>
      <c r="N987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88" spans="1:14">
      <c r="A988">
        <v>987</v>
      </c>
      <c r="B988" s="1" t="d">
        <v>2023-04-29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t="str">
        <f>TEXT(SalesData[[#This Row],[Date]],"yyyy-mm")</f>
        <v>2023-04</v>
      </c>
      <c r="K988">
        <f>YEAR(SalesData[[#This Row],[Date]])</f>
        <v>2023</v>
      </c>
      <c r="L988" t="str">
        <f>"Q"&amp;ROUNDUP(MONTH(SalesData[[#This Row],[Date]])/3,0)</f>
        <v>Q2</v>
      </c>
      <c r="M988" s="1" t="d">
        <f>DATE(YEAR(SalesData[[#This Row],[Date]]),MONTH(SalesData[[#This Row],[Date]]),1)</f>
        <v>2023-04-01</v>
      </c>
      <c r="N988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89" spans="1:14">
      <c r="A989">
        <v>988</v>
      </c>
      <c r="B989" s="1" t="d">
        <v>2023-05-28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t="str">
        <f>TEXT(SalesData[[#This Row],[Date]],"yyyy-mm")</f>
        <v>2023-05</v>
      </c>
      <c r="K989">
        <f>YEAR(SalesData[[#This Row],[Date]])</f>
        <v>2023</v>
      </c>
      <c r="L989" t="str">
        <f>"Q"&amp;ROUNDUP(MONTH(SalesData[[#This Row],[Date]])/3,0)</f>
        <v>Q2</v>
      </c>
      <c r="M989" s="1" t="d">
        <f>DATE(YEAR(SalesData[[#This Row],[Date]]),MONTH(SalesData[[#This Row],[Date]]),1)</f>
        <v>2023-05-01</v>
      </c>
      <c r="N989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0" spans="1:14">
      <c r="A990">
        <v>989</v>
      </c>
      <c r="B990" s="1" t="d">
        <v>2023-12-28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t="str">
        <f>TEXT(SalesData[[#This Row],[Date]],"yyyy-mm")</f>
        <v>2023-12</v>
      </c>
      <c r="K990">
        <f>YEAR(SalesData[[#This Row],[Date]])</f>
        <v>2023</v>
      </c>
      <c r="L990" t="str">
        <f>"Q"&amp;ROUNDUP(MONTH(SalesData[[#This Row],[Date]])/3,0)</f>
        <v>Q4</v>
      </c>
      <c r="M990" s="1" t="d">
        <f>DATE(YEAR(SalesData[[#This Row],[Date]]),MONTH(SalesData[[#This Row],[Date]]),1)</f>
        <v>2023-12-01</v>
      </c>
      <c r="N990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91" spans="1:14">
      <c r="A991">
        <v>990</v>
      </c>
      <c r="B991" s="1" t="d">
        <v>2023-05-25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t="str">
        <f>TEXT(SalesData[[#This Row],[Date]],"yyyy-mm")</f>
        <v>2023-05</v>
      </c>
      <c r="K991">
        <f>YEAR(SalesData[[#This Row],[Date]])</f>
        <v>2023</v>
      </c>
      <c r="L991" t="str">
        <f>"Q"&amp;ROUNDUP(MONTH(SalesData[[#This Row],[Date]])/3,0)</f>
        <v>Q2</v>
      </c>
      <c r="M991" s="1" t="d">
        <f>DATE(YEAR(SalesData[[#This Row],[Date]]),MONTH(SalesData[[#This Row],[Date]]),1)</f>
        <v>2023-05-01</v>
      </c>
      <c r="N991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2" spans="1:14">
      <c r="A992">
        <v>991</v>
      </c>
      <c r="B992" s="1" t="d">
        <v>2023-12-26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t="str">
        <f>TEXT(SalesData[[#This Row],[Date]],"yyyy-mm")</f>
        <v>2023-12</v>
      </c>
      <c r="K992">
        <f>YEAR(SalesData[[#This Row],[Date]])</f>
        <v>2023</v>
      </c>
      <c r="L992" t="str">
        <f>"Q"&amp;ROUNDUP(MONTH(SalesData[[#This Row],[Date]])/3,0)</f>
        <v>Q4</v>
      </c>
      <c r="M992" s="1" t="d">
        <f>DATE(YEAR(SalesData[[#This Row],[Date]]),MONTH(SalesData[[#This Row],[Date]]),1)</f>
        <v>2023-12-01</v>
      </c>
      <c r="N992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993" spans="1:14">
      <c r="A993">
        <v>992</v>
      </c>
      <c r="B993" s="1" t="d">
        <v>2023-08-21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t="str">
        <f>TEXT(SalesData[[#This Row],[Date]],"yyyy-mm")</f>
        <v>2023-08</v>
      </c>
      <c r="K993">
        <f>YEAR(SalesData[[#This Row],[Date]])</f>
        <v>2023</v>
      </c>
      <c r="L993" t="str">
        <f>"Q"&amp;ROUNDUP(MONTH(SalesData[[#This Row],[Date]])/3,0)</f>
        <v>Q3</v>
      </c>
      <c r="M993" s="1" t="d">
        <f>DATE(YEAR(SalesData[[#This Row],[Date]]),MONTH(SalesData[[#This Row],[Date]]),1)</f>
        <v>2023-08-01</v>
      </c>
      <c r="N993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4" spans="1:14">
      <c r="A994">
        <v>993</v>
      </c>
      <c r="B994" s="1" t="d">
        <v>2023-02-06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t="str">
        <f>TEXT(SalesData[[#This Row],[Date]],"yyyy-mm")</f>
        <v>2023-02</v>
      </c>
      <c r="K994">
        <f>YEAR(SalesData[[#This Row],[Date]])</f>
        <v>2023</v>
      </c>
      <c r="L994" t="str">
        <f>"Q"&amp;ROUNDUP(MONTH(SalesData[[#This Row],[Date]])/3,0)</f>
        <v>Q1</v>
      </c>
      <c r="M994" s="1" t="d">
        <f>DATE(YEAR(SalesData[[#This Row],[Date]]),MONTH(SalesData[[#This Row],[Date]]),1)</f>
        <v>2023-02-01</v>
      </c>
      <c r="N994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95" spans="1:14">
      <c r="A995">
        <v>994</v>
      </c>
      <c r="B995" s="1" t="d">
        <v>2023-12-18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t="str">
        <f>TEXT(SalesData[[#This Row],[Date]],"yyyy-mm")</f>
        <v>2023-12</v>
      </c>
      <c r="K995">
        <f>YEAR(SalesData[[#This Row],[Date]])</f>
        <v>2023</v>
      </c>
      <c r="L995" t="str">
        <f>"Q"&amp;ROUNDUP(MONTH(SalesData[[#This Row],[Date]])/3,0)</f>
        <v>Q4</v>
      </c>
      <c r="M995" s="1" t="d">
        <f>DATE(YEAR(SalesData[[#This Row],[Date]]),MONTH(SalesData[[#This Row],[Date]]),1)</f>
        <v>2023-12-01</v>
      </c>
      <c r="N995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6" spans="1:14">
      <c r="A996">
        <v>995</v>
      </c>
      <c r="B996" s="1" t="d">
        <v>2023-04-30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t="str">
        <f>TEXT(SalesData[[#This Row],[Date]],"yyyy-mm")</f>
        <v>2023-04</v>
      </c>
      <c r="K996">
        <f>YEAR(SalesData[[#This Row],[Date]])</f>
        <v>2023</v>
      </c>
      <c r="L996" t="str">
        <f>"Q"&amp;ROUNDUP(MONTH(SalesData[[#This Row],[Date]])/3,0)</f>
        <v>Q2</v>
      </c>
      <c r="M996" s="1" t="d">
        <f>DATE(YEAR(SalesData[[#This Row],[Date]]),MONTH(SalesData[[#This Row],[Date]]),1)</f>
        <v>2023-04-01</v>
      </c>
      <c r="N996" s="2" t="str">
        <f>IF(SalesData[[#This Row],[Age]]&lt;20,"Under 20",IF(SalesData[[#This Row],[Age]]&lt;30,"20-29",IF(SalesData[[#This Row],[Age]]&lt;40,"30-39",IF(SalesData[[#This Row],[Age]]&lt;50,"40-49","50+"))))</f>
        <v>40-49</v>
      </c>
    </row>
    <row r="997" spans="1:14">
      <c r="A997">
        <v>996</v>
      </c>
      <c r="B997" s="1" t="d">
        <v>2023-05-16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t="str">
        <f>TEXT(SalesData[[#This Row],[Date]],"yyyy-mm")</f>
        <v>2023-05</v>
      </c>
      <c r="K997">
        <f>YEAR(SalesData[[#This Row],[Date]])</f>
        <v>2023</v>
      </c>
      <c r="L997" t="str">
        <f>"Q"&amp;ROUNDUP(MONTH(SalesData[[#This Row],[Date]])/3,0)</f>
        <v>Q2</v>
      </c>
      <c r="M997" s="1" t="d">
        <f>DATE(YEAR(SalesData[[#This Row],[Date]]),MONTH(SalesData[[#This Row],[Date]]),1)</f>
        <v>2023-05-01</v>
      </c>
      <c r="N997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8" spans="1:14">
      <c r="A998">
        <v>997</v>
      </c>
      <c r="B998" s="1" t="d">
        <v>2023-11-17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t="str">
        <f>TEXT(SalesData[[#This Row],[Date]],"yyyy-mm")</f>
        <v>2023-11</v>
      </c>
      <c r="K998">
        <f>YEAR(SalesData[[#This Row],[Date]])</f>
        <v>2023</v>
      </c>
      <c r="L998" t="str">
        <f>"Q"&amp;ROUNDUP(MONTH(SalesData[[#This Row],[Date]])/3,0)</f>
        <v>Q4</v>
      </c>
      <c r="M998" s="1" t="d">
        <f>DATE(YEAR(SalesData[[#This Row],[Date]]),MONTH(SalesData[[#This Row],[Date]]),1)</f>
        <v>2023-11-01</v>
      </c>
      <c r="N998" s="2" t="str">
        <f>IF(SalesData[[#This Row],[Age]]&lt;20,"Under 20",IF(SalesData[[#This Row],[Age]]&lt;30,"20-29",IF(SalesData[[#This Row],[Age]]&lt;40,"30-39",IF(SalesData[[#This Row],[Age]]&lt;50,"40-49","50+"))))</f>
        <v>50+</v>
      </c>
    </row>
    <row r="999" spans="1:14">
      <c r="A999">
        <v>998</v>
      </c>
      <c r="B999" s="1" t="d">
        <v>2023-10-29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t="str">
        <f>TEXT(SalesData[[#This Row],[Date]],"yyyy-mm")</f>
        <v>2023-10</v>
      </c>
      <c r="K999">
        <f>YEAR(SalesData[[#This Row],[Date]])</f>
        <v>2023</v>
      </c>
      <c r="L999" t="str">
        <f>"Q"&amp;ROUNDUP(MONTH(SalesData[[#This Row],[Date]])/3,0)</f>
        <v>Q4</v>
      </c>
      <c r="M999" s="1" t="d">
        <f>DATE(YEAR(SalesData[[#This Row],[Date]]),MONTH(SalesData[[#This Row],[Date]]),1)</f>
        <v>2023-10-01</v>
      </c>
      <c r="N999" s="2" t="str">
        <f>IF(SalesData[[#This Row],[Age]]&lt;20,"Under 20",IF(SalesData[[#This Row],[Age]]&lt;30,"20-29",IF(SalesData[[#This Row],[Age]]&lt;40,"30-39",IF(SalesData[[#This Row],[Age]]&lt;50,"40-49","50+"))))</f>
        <v>20-29</v>
      </c>
    </row>
    <row r="1000" spans="1:14">
      <c r="A1000">
        <v>999</v>
      </c>
      <c r="B1000" s="1" t="d">
        <v>2023-12-05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t="str">
        <f>TEXT(SalesData[[#This Row],[Date]],"yyyy-mm")</f>
        <v>2023-12</v>
      </c>
      <c r="K1000">
        <f>YEAR(SalesData[[#This Row],[Date]])</f>
        <v>2023</v>
      </c>
      <c r="L1000" t="str">
        <f>"Q"&amp;ROUNDUP(MONTH(SalesData[[#This Row],[Date]])/3,0)</f>
        <v>Q4</v>
      </c>
      <c r="M1000" s="1" t="d">
        <f>DATE(YEAR(SalesData[[#This Row],[Date]]),MONTH(SalesData[[#This Row],[Date]]),1)</f>
        <v>2023-12-01</v>
      </c>
      <c r="N1000" s="2" t="str">
        <f>IF(SalesData[[#This Row],[Age]]&lt;20,"Under 20",IF(SalesData[[#This Row],[Age]]&lt;30,"20-29",IF(SalesData[[#This Row],[Age]]&lt;40,"30-39",IF(SalesData[[#This Row],[Age]]&lt;50,"40-49","50+"))))</f>
        <v>30-39</v>
      </c>
    </row>
    <row r="1001" spans="1:14">
      <c r="A1001">
        <v>1000</v>
      </c>
      <c r="B1001" s="1" t="d">
        <v>2023-04-12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t="str">
        <f>TEXT(SalesData[[#This Row],[Date]],"yyyy-mm")</f>
        <v>2023-04</v>
      </c>
      <c r="K1001">
        <f>YEAR(SalesData[[#This Row],[Date]])</f>
        <v>2023</v>
      </c>
      <c r="L1001" t="str">
        <f>"Q"&amp;ROUNDUP(MONTH(SalesData[[#This Row],[Date]])/3,0)</f>
        <v>Q2</v>
      </c>
      <c r="M1001" s="1" t="d">
        <f>DATE(YEAR(SalesData[[#This Row],[Date]]),MONTH(SalesData[[#This Row],[Date]]),1)</f>
        <v>2023-04-01</v>
      </c>
      <c r="N1001" s="2" t="str">
        <f>IF(SalesData[[#This Row],[Age]]&lt;20,"Under 20",IF(SalesData[[#This Row],[Age]]&lt;30,"20-29",IF(SalesData[[#This Row],[Age]]&lt;40,"30-39",IF(SalesData[[#This Row],[Age]]&lt;50,"40-49","50+"))))</f>
        <v>40-49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B4F0-CB65-C14B-BE1B-39752574A06A}">
  <dimension ref="A3:B38"/>
  <sheetViews>
    <sheetView workbookViewId="0">
      <selection activeCell="C43" sqref="C43"/>
    </sheetView>
  </sheetViews>
  <sheetFormatPr baseColWidth="10" defaultRowHeight="16"/>
  <cols>
    <col min="1" max="1" width="13" bestFit="1" customWidth="1"/>
    <col min="2" max="3" width="18.1640625" bestFit="1" customWidth="1"/>
  </cols>
  <sheetData>
    <row r="3" spans="1:2">
      <c r="A3" s="4" t="s">
        <v>1024</v>
      </c>
      <c r="B3" t="s">
        <v>1026</v>
      </c>
    </row>
    <row r="4" spans="1:2">
      <c r="A4" s="5" t="s">
        <v>1027</v>
      </c>
      <c r="B4" s="2">
        <v>36980</v>
      </c>
    </row>
    <row r="5" spans="1:2">
      <c r="A5" s="5" t="s">
        <v>1028</v>
      </c>
      <c r="B5" s="2">
        <v>44060</v>
      </c>
    </row>
    <row r="6" spans="1:2">
      <c r="A6" s="5" t="s">
        <v>1029</v>
      </c>
      <c r="B6" s="2">
        <v>28990</v>
      </c>
    </row>
    <row r="7" spans="1:2">
      <c r="A7" s="5" t="s">
        <v>1030</v>
      </c>
      <c r="B7" s="2">
        <v>33870</v>
      </c>
    </row>
    <row r="8" spans="1:2">
      <c r="A8" s="5" t="s">
        <v>1031</v>
      </c>
      <c r="B8" s="2">
        <v>53150</v>
      </c>
    </row>
    <row r="9" spans="1:2">
      <c r="A9" s="5" t="s">
        <v>1032</v>
      </c>
      <c r="B9" s="2">
        <v>36715</v>
      </c>
    </row>
    <row r="10" spans="1:2">
      <c r="A10" s="5" t="s">
        <v>1033</v>
      </c>
      <c r="B10" s="2">
        <v>35465</v>
      </c>
    </row>
    <row r="11" spans="1:2">
      <c r="A11" s="5" t="s">
        <v>1034</v>
      </c>
      <c r="B11" s="2">
        <v>36960</v>
      </c>
    </row>
    <row r="12" spans="1:2">
      <c r="A12" s="5" t="s">
        <v>1035</v>
      </c>
      <c r="B12" s="2">
        <v>23620</v>
      </c>
    </row>
    <row r="13" spans="1:2">
      <c r="A13" s="5" t="s">
        <v>1036</v>
      </c>
      <c r="B13" s="2">
        <v>46580</v>
      </c>
    </row>
    <row r="14" spans="1:2">
      <c r="A14" s="5" t="s">
        <v>1037</v>
      </c>
      <c r="B14" s="2">
        <v>34920</v>
      </c>
    </row>
    <row r="15" spans="1:2">
      <c r="A15" s="5" t="s">
        <v>1038</v>
      </c>
      <c r="B15" s="2">
        <v>44690</v>
      </c>
    </row>
    <row r="16" spans="1:2">
      <c r="A16" s="5" t="s">
        <v>1025</v>
      </c>
      <c r="B16" s="2">
        <v>456000</v>
      </c>
    </row>
    <row r="20" spans="1:2">
      <c r="A20" s="4" t="s">
        <v>1024</v>
      </c>
      <c r="B20" t="s">
        <v>1026</v>
      </c>
    </row>
    <row r="21" spans="1:2">
      <c r="A21" s="5" t="s">
        <v>11</v>
      </c>
      <c r="B21" s="2">
        <v>143515</v>
      </c>
    </row>
    <row r="22" spans="1:2">
      <c r="A22" s="5" t="s">
        <v>14</v>
      </c>
      <c r="B22" s="2">
        <v>155580</v>
      </c>
    </row>
    <row r="23" spans="1:2">
      <c r="A23" s="5" t="s">
        <v>16</v>
      </c>
      <c r="B23" s="2">
        <v>156905</v>
      </c>
    </row>
    <row r="24" spans="1:2">
      <c r="A24" s="5" t="s">
        <v>1025</v>
      </c>
      <c r="B24" s="2">
        <v>456000</v>
      </c>
    </row>
    <row r="35" spans="1:2">
      <c r="A35" s="4" t="s">
        <v>1024</v>
      </c>
      <c r="B35" t="s">
        <v>1026</v>
      </c>
    </row>
    <row r="36" spans="1:2">
      <c r="A36" s="5" t="s">
        <v>13</v>
      </c>
      <c r="B36" s="2">
        <v>232840</v>
      </c>
    </row>
    <row r="37" spans="1:2">
      <c r="A37" s="5" t="s">
        <v>10</v>
      </c>
      <c r="B37" s="2">
        <v>223160</v>
      </c>
    </row>
    <row r="38" spans="1:2">
      <c r="A38" s="5" t="s">
        <v>1025</v>
      </c>
      <c r="B38" s="2">
        <v>456000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DD13-B525-D84E-AFE1-D21A92986AD5}">
  <dimension ref="A1:A11"/>
  <sheetViews>
    <sheetView workbookViewId="0">
      <selection activeCell="B14" sqref="B14"/>
    </sheetView>
  </sheetViews>
  <sheetFormatPr baseColWidth="10" defaultRowHeight="16"/>
  <sheetData>
    <row r="1" spans="1:1">
      <c r="A1" t="s">
        <v>1020</v>
      </c>
    </row>
    <row r="2" spans="1:1">
      <c r="A2">
        <f>SUM(SalesData[Total Amount])</f>
        <v>456000</v>
      </c>
    </row>
    <row r="4" spans="1:1" ht="18">
      <c r="A4" s="3" t="s">
        <v>1021</v>
      </c>
    </row>
    <row r="5" spans="1:1">
      <c r="A5">
        <f>SUM(SalesData[Quantity])</f>
        <v>2514</v>
      </c>
    </row>
    <row r="7" spans="1:1">
      <c r="A7" t="s">
        <v>1022</v>
      </c>
    </row>
    <row r="8" spans="1:1">
      <c r="A8">
        <f>COUNTA(SalesData[Transaction ID])</f>
        <v>1000</v>
      </c>
    </row>
    <row r="10" spans="1:1">
      <c r="A10" t="s">
        <v>1023</v>
      </c>
    </row>
    <row r="11" spans="1:1">
      <c r="A11">
        <f>SUM(SalesData[Total Amount])/COUNTA(SalesData[Transaction ID])</f>
        <v>456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9479-ABED-0D44-86B6-1D55DC222402}">
  <dimension ref="A1:D16"/>
  <sheetViews>
    <sheetView workbookViewId="0">
      <selection activeCell="F12" sqref="F12"/>
    </sheetView>
  </sheetViews>
  <sheetFormatPr baseColWidth="10" defaultRowHeight="16"/>
  <cols>
    <col min="1" max="1" width="26.1640625" style="10" bestFit="1" customWidth="1"/>
    <col min="4" max="4" width="12.6640625" style="11" bestFit="1" customWidth="1"/>
  </cols>
  <sheetData>
    <row r="1" spans="1:4">
      <c r="A1" s="8" t="s">
        <v>1039</v>
      </c>
      <c r="B1" s="6" t="s">
        <v>1040</v>
      </c>
      <c r="C1" t="s">
        <v>1041</v>
      </c>
      <c r="D1" s="11" t="s">
        <v>1042</v>
      </c>
    </row>
    <row r="2" spans="1:4">
      <c r="A2" s="9" t="d">
        <v>2023-01-01</v>
      </c>
      <c r="B2" s="7">
        <v>36980</v>
      </c>
      <c r="C2">
        <f t="shared" ref="C2:C16" si="0">ROW()-1</f>
        <v>1</v>
      </c>
    </row>
    <row r="3" spans="1:4">
      <c r="A3" s="9" t="d">
        <v>2023-02-01</v>
      </c>
      <c r="B3" s="7">
        <v>44060</v>
      </c>
      <c r="C3">
        <f t="shared" si="0"/>
        <v>2</v>
      </c>
    </row>
    <row r="4" spans="1:4">
      <c r="A4" s="9" t="d">
        <v>2023-03-01</v>
      </c>
      <c r="B4" s="7">
        <v>28990</v>
      </c>
      <c r="C4">
        <f t="shared" si="0"/>
        <v>3</v>
      </c>
    </row>
    <row r="5" spans="1:4">
      <c r="A5" s="9" t="d">
        <v>2023-04-01</v>
      </c>
      <c r="B5" s="7">
        <v>33870</v>
      </c>
      <c r="C5">
        <f t="shared" si="0"/>
        <v>4</v>
      </c>
    </row>
    <row r="6" spans="1:4">
      <c r="A6" s="9" t="d">
        <v>2023-05-01</v>
      </c>
      <c r="B6" s="7">
        <v>53150</v>
      </c>
      <c r="C6">
        <f t="shared" si="0"/>
        <v>5</v>
      </c>
    </row>
    <row r="7" spans="1:4">
      <c r="A7" s="9" t="d">
        <v>2023-06-01</v>
      </c>
      <c r="B7" s="7">
        <v>36715</v>
      </c>
      <c r="C7">
        <f t="shared" si="0"/>
        <v>6</v>
      </c>
    </row>
    <row r="8" spans="1:4">
      <c r="A8" s="9" t="d">
        <v>2023-07-01</v>
      </c>
      <c r="B8" s="7">
        <v>35465</v>
      </c>
      <c r="C8">
        <f t="shared" si="0"/>
        <v>7</v>
      </c>
    </row>
    <row r="9" spans="1:4">
      <c r="A9" s="9" t="d">
        <v>2023-08-01</v>
      </c>
      <c r="B9" s="7">
        <v>36960</v>
      </c>
      <c r="C9">
        <f t="shared" si="0"/>
        <v>8</v>
      </c>
    </row>
    <row r="10" spans="1:4">
      <c r="A10" s="9" t="d">
        <v>2023-09-01</v>
      </c>
      <c r="B10" s="7">
        <v>23620</v>
      </c>
      <c r="C10">
        <f t="shared" si="0"/>
        <v>9</v>
      </c>
    </row>
    <row r="11" spans="1:4">
      <c r="A11" s="9" t="d">
        <v>2023-10-01</v>
      </c>
      <c r="B11" s="7">
        <v>46580</v>
      </c>
      <c r="C11">
        <f t="shared" si="0"/>
        <v>10</v>
      </c>
    </row>
    <row r="12" spans="1:4">
      <c r="A12" s="9" t="d">
        <v>2023-11-01</v>
      </c>
      <c r="B12" s="7">
        <v>34920</v>
      </c>
      <c r="C12">
        <f t="shared" si="0"/>
        <v>11</v>
      </c>
    </row>
    <row r="13" spans="1:4">
      <c r="A13" s="9" t="d">
        <v>2023-12-01</v>
      </c>
      <c r="B13" s="7">
        <v>44690</v>
      </c>
      <c r="C13">
        <f t="shared" si="0"/>
        <v>12</v>
      </c>
    </row>
    <row r="14" spans="1:4">
      <c r="A14" s="9" t="d">
        <v>2024-01-01</v>
      </c>
      <c r="B14" s="7"/>
      <c r="C14">
        <f t="shared" si="0"/>
        <v>13</v>
      </c>
      <c r="D14" s="11">
        <f>_xlfn.FORECAST.LINEAR(C14,$B$2:$B$13,$C$2:$C$13)</f>
        <v>38559.318181818177</v>
      </c>
    </row>
    <row r="15" spans="1:4">
      <c r="A15" s="9" t="d">
        <v>2024-02-01</v>
      </c>
      <c r="B15" s="7"/>
      <c r="C15">
        <f t="shared" si="0"/>
        <v>14</v>
      </c>
      <c r="D15" s="11">
        <f t="shared" ref="D15:D16" si="1">_xlfn.FORECAST.LINEAR(C15,$B$2:$B$13,$C$2:$C$13)</f>
        <v>38645.367132867133</v>
      </c>
    </row>
    <row r="16" spans="1:4">
      <c r="A16" s="9" t="d">
        <v>2024-03-01</v>
      </c>
      <c r="B16" s="7"/>
      <c r="C16">
        <f t="shared" si="0"/>
        <v>15</v>
      </c>
      <c r="D16" s="11">
        <f t="shared" si="1"/>
        <v>38731.416083916083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Processed_Data</vt:lpstr>
      <vt:lpstr>Pivot_Table</vt:lpstr>
      <vt:lpstr>Analysis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Srikanta Murthy, Sumanth (Stud SRH-University)</cp:lastModifiedBy>
  <dcterms:created xsi:type="dcterms:W3CDTF">2026-03-20T16:50:22Z</dcterms:created>
  <dcterms:modified xsi:type="dcterms:W3CDTF">2026-03-20T17:46:13Z</dcterms:modified>
</cp:coreProperties>
</file>